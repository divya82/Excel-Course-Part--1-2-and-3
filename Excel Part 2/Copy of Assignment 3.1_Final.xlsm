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WORK\Excel part 2\"/>
    </mc:Choice>
  </mc:AlternateContent>
  <xr:revisionPtr revIDLastSave="0" documentId="13_ncr:1_{14BA6F1A-8443-42A8-B4B4-0CE45327756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5" i="1" l="1"/>
  <c r="L14" i="1"/>
  <c r="L13" i="1"/>
  <c r="L12" i="1"/>
  <c r="L11" i="1"/>
  <c r="L10" i="1"/>
  <c r="L9" i="1"/>
  <c r="L8" i="1"/>
  <c r="K15" i="1"/>
  <c r="F4" i="1" s="1" a="1"/>
  <c r="F4" i="1" s="1"/>
  <c r="K14" i="1"/>
  <c r="K13" i="1"/>
  <c r="K12" i="1"/>
  <c r="K11" i="1"/>
  <c r="K10" i="1"/>
  <c r="K9" i="1"/>
  <c r="K8" i="1"/>
  <c r="F5" i="1" l="1" a="1"/>
  <c r="F5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<sst xmlns="http://schemas.openxmlformats.org/spreadsheetml/2006/main" count="18" uniqueCount="17">
  <si>
    <t>Assignment 3.1</t>
  </si>
  <si>
    <t>Purchase Cost:</t>
  </si>
  <si>
    <t>Salvage Value:</t>
  </si>
  <si>
    <t>Depreciation method:</t>
  </si>
  <si>
    <t>Double declining balance</t>
  </si>
  <si>
    <t>Year:</t>
  </si>
  <si>
    <t>Yearly depreciation:</t>
  </si>
  <si>
    <t>End-of-year value:</t>
  </si>
  <si>
    <t>Year purchased:</t>
  </si>
  <si>
    <t>Sum-of-years</t>
  </si>
  <si>
    <t>Useful Life (yrs):</t>
  </si>
  <si>
    <t>Straight-line</t>
  </si>
  <si>
    <t>Depreciation methods</t>
  </si>
  <si>
    <t>SYD</t>
  </si>
  <si>
    <t>VALUE SYD</t>
  </si>
  <si>
    <t>VALUE DDB</t>
  </si>
  <si>
    <t>DDB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</si>
</sst>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6" formatCode="_([$$-409]* #,##0.00_);_([$$-409]* \(#,##0.00\);_([$$-409]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0" fontId="0" fillId="0" borderId="3" xfId="0" applyBorder="1"/>
    <xf numFmtId="0" fontId="2" fillId="0" borderId="1" xfId="0" applyFont="1" applyBorder="1" applyAlignment="1">
      <alignment horizontal="right"/>
    </xf>
    <xf numFmtId="0" fontId="2" fillId="0" borderId="2" xfId="0" applyFont="1" applyBorder="1" applyAlignment="1">
      <alignment horizontal="right"/>
    </xf>
    <xf numFmtId="0" fontId="2" fillId="0" borderId="2" xfId="0" applyFont="1" applyBorder="1"/>
    <xf numFmtId="0" fontId="2" fillId="0" borderId="4" xfId="0" applyFont="1" applyBorder="1" applyAlignment="1">
      <alignment horizontal="right"/>
    </xf>
    <xf numFmtId="44" fontId="0" fillId="2" borderId="5" xfId="1" applyFont="1" applyFill="1" applyBorder="1"/>
    <xf numFmtId="44" fontId="0" fillId="3" borderId="5" xfId="1" applyFont="1" applyFill="1" applyBorder="1"/>
    <xf numFmtId="14" fontId="0" fillId="2" borderId="5" xfId="0" applyNumberFormat="1" applyFill="1" applyBorder="1" applyAlignment="1">
      <alignment horizontal="right"/>
    </xf>
    <xf numFmtId="1" fontId="0" fillId="2" borderId="5" xfId="0" applyNumberFormat="1" applyFill="1" applyBorder="1"/>
    <xf numFmtId="8" fontId="0" fillId="0" borderId="0" xfId="0" applyNumberFormat="1"/>
    <xf numFmtId="1" fontId="0" fillId="0" borderId="0" xfId="0" applyNumberFormat="1"/>
    <xf numFmtId="44" fontId="0" fillId="0" borderId="0" xfId="0" applyNumberFormat="1"/>
    <xf numFmtId="0" fontId="0" fillId="0" borderId="0" xfId="0" applyNumberFormat="1"/>
    <xf numFmtId="166" fontId="0" fillId="3" borderId="5" xfId="1" applyNumberFormat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428625</xdr:colOff>
          <xdr:row>6</xdr:row>
          <xdr:rowOff>152400</xdr:rowOff>
        </xdr:from>
        <xdr:to>
          <xdr:col>5</xdr:col>
          <xdr:colOff>66675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9"/>
  <sheetViews>
    <sheetView tabSelected="1" workbookViewId="0">
      <selection activeCell="F4" sqref="F4"/>
    </sheetView>
  </sheetViews>
  <sheetFormatPr defaultRowHeight="15" x14ac:dyDescent="0.25"/>
  <cols>
    <col min="2" max="2" width="18.7109375" bestFit="1" customWidth="1"/>
    <col min="3" max="3" width="20.5703125" bestFit="1" customWidth="1"/>
    <col min="5" max="5" width="17.42578125" bestFit="1" customWidth="1"/>
    <col min="6" max="6" width="11.42578125" customWidth="1"/>
    <col min="8" max="8" width="9.85546875" customWidth="1"/>
    <col min="9" max="9" width="12.28515625" customWidth="1"/>
    <col min="10" max="10" width="10.5703125" customWidth="1"/>
    <col min="11" max="12" width="9.85546875" bestFit="1" customWidth="1"/>
  </cols>
  <sheetData>
    <row r="1" spans="1:12" x14ac:dyDescent="0.25">
      <c r="A1" s="1" t="s">
        <v>0</v>
      </c>
    </row>
    <row r="2" spans="1:12" ht="15.75" thickBot="1" x14ac:dyDescent="0.3"/>
    <row r="3" spans="1:12" ht="15.75" thickBot="1" x14ac:dyDescent="0.3">
      <c r="B3" s="3" t="s">
        <v>1</v>
      </c>
      <c r="C3" s="7">
        <v>10000</v>
      </c>
      <c r="E3" s="3" t="s">
        <v>5</v>
      </c>
      <c r="F3" s="10">
        <v>2024</v>
      </c>
    </row>
    <row r="4" spans="1:12" ht="15.75" thickBot="1" x14ac:dyDescent="0.3">
      <c r="B4" s="4" t="s">
        <v>8</v>
      </c>
      <c r="C4" s="10">
        <v>2016</v>
      </c>
      <c r="E4" s="4" t="s">
        <v>6</v>
      </c>
      <c r="F4" s="15" cm="1">
        <f t="array" ref="F4">_xlfn.IFS($C$8=B13,VLOOKUP(F3,$H$7:$K$15,4,0),$C$8=B14,$C$8=B12,SLN(C3,C6,C5),VLOOKUP(F3,$H$7:$L$15,5,0))</f>
        <v>222.22222222222223</v>
      </c>
      <c r="H4" s="11"/>
      <c r="I4" s="11"/>
      <c r="J4" s="11"/>
    </row>
    <row r="5" spans="1:12" ht="15.75" thickBot="1" x14ac:dyDescent="0.3">
      <c r="B5" s="4" t="s">
        <v>10</v>
      </c>
      <c r="C5" s="10">
        <v>8</v>
      </c>
      <c r="E5" s="6" t="s">
        <v>7</v>
      </c>
      <c r="F5" s="8" cm="1">
        <f t="array" ref="F5">_xlfn.IFS($C$8=B12,C3-(F4*(F3-C4)),$C$8=B13,VLOOKUP($F3,$H$7:$I$15,2,0),$C$8=B14,VLOOKUP($F3,$H$7:$J$15,3,0))</f>
        <v>2000</v>
      </c>
      <c r="J5" s="12"/>
    </row>
    <row r="6" spans="1:12" ht="15.75" thickBot="1" x14ac:dyDescent="0.3">
      <c r="B6" s="4" t="s">
        <v>2</v>
      </c>
      <c r="C6" s="7">
        <v>2000</v>
      </c>
      <c r="H6" s="12"/>
      <c r="I6" t="s">
        <v>14</v>
      </c>
      <c r="J6" s="13" t="s">
        <v>15</v>
      </c>
      <c r="K6" t="s">
        <v>13</v>
      </c>
      <c r="L6" t="s">
        <v>16</v>
      </c>
    </row>
    <row r="7" spans="1:12" ht="15.75" thickBot="1" x14ac:dyDescent="0.3">
      <c r="B7" s="5"/>
      <c r="C7" s="2"/>
      <c r="H7" s="14">
        <v>2016</v>
      </c>
      <c r="I7" s="11">
        <v>10000</v>
      </c>
      <c r="J7" s="11">
        <v>10000</v>
      </c>
      <c r="K7" s="11">
        <v>0</v>
      </c>
      <c r="L7" s="11">
        <v>0</v>
      </c>
    </row>
    <row r="8" spans="1:12" ht="15.75" thickBot="1" x14ac:dyDescent="0.3">
      <c r="B8" s="6" t="s">
        <v>3</v>
      </c>
      <c r="C8" s="9" t="s">
        <v>9</v>
      </c>
      <c r="H8">
        <v>2017</v>
      </c>
      <c r="I8" s="11">
        <v>8222.2199999999993</v>
      </c>
      <c r="J8" s="11">
        <v>7500</v>
      </c>
      <c r="K8" s="11">
        <f>SYD($C$3,$C$6,$C$5,1)</f>
        <v>1777.7777777777778</v>
      </c>
      <c r="L8" s="11">
        <f>DDB($C$3,$C$6,$C$5,1,2)</f>
        <v>2500</v>
      </c>
    </row>
    <row r="9" spans="1:12" x14ac:dyDescent="0.25">
      <c r="G9" s="11"/>
      <c r="H9">
        <v>2018</v>
      </c>
      <c r="I9" s="11">
        <v>6666.67</v>
      </c>
      <c r="J9" s="11">
        <v>5625</v>
      </c>
      <c r="K9" s="11">
        <f>SYD($C$3,$C$6,$C$5,2)</f>
        <v>1555.5555555555557</v>
      </c>
      <c r="L9" s="11">
        <f>DDB($C$3,$C$6,$C$5,2,2)</f>
        <v>1875</v>
      </c>
    </row>
    <row r="10" spans="1:12" x14ac:dyDescent="0.25">
      <c r="G10" s="11"/>
      <c r="H10">
        <v>2019</v>
      </c>
      <c r="I10" s="11">
        <v>5333.33</v>
      </c>
      <c r="J10" s="11">
        <v>4218.75</v>
      </c>
      <c r="K10" s="11">
        <f>SYD($C$3,$C$6,$C$5,3)</f>
        <v>1333.3333333333333</v>
      </c>
      <c r="L10" s="11">
        <f>DDB($C$3,$C$6,$C$5,3,2)</f>
        <v>1406.25</v>
      </c>
    </row>
    <row r="11" spans="1:12" x14ac:dyDescent="0.25">
      <c r="B11" s="1" t="s">
        <v>12</v>
      </c>
      <c r="C11">
        <v>2016</v>
      </c>
      <c r="H11">
        <v>2020</v>
      </c>
      <c r="I11" s="11">
        <v>4222.22</v>
      </c>
      <c r="J11" s="11">
        <v>3164.06</v>
      </c>
      <c r="K11" s="11">
        <f>SYD($C$3,$C$6,$C$5,4)</f>
        <v>1111.1111111111111</v>
      </c>
      <c r="L11" s="11">
        <f>DDB($C$3,$C$6,$C$5,4,2)</f>
        <v>1054.6875</v>
      </c>
    </row>
    <row r="12" spans="1:12" x14ac:dyDescent="0.25">
      <c r="B12" t="s">
        <v>11</v>
      </c>
      <c r="C12">
        <v>2017</v>
      </c>
      <c r="D12">
        <v>1</v>
      </c>
      <c r="H12">
        <v>2021</v>
      </c>
      <c r="I12" s="11">
        <v>3333.33</v>
      </c>
      <c r="J12" s="11">
        <v>2373.0500000000002</v>
      </c>
      <c r="K12" s="11">
        <f>SYD($C$3,$C$6,$C$5,5)</f>
        <v>888.88888888888891</v>
      </c>
      <c r="L12" s="11">
        <f>DDB($C$3,$C$6,$C$5,5,2)</f>
        <v>791.015625</v>
      </c>
    </row>
    <row r="13" spans="1:12" x14ac:dyDescent="0.25">
      <c r="B13" t="s">
        <v>9</v>
      </c>
      <c r="C13">
        <v>2018</v>
      </c>
      <c r="D13">
        <v>2</v>
      </c>
      <c r="H13">
        <v>2022</v>
      </c>
      <c r="I13" s="11">
        <v>2666.67</v>
      </c>
      <c r="J13" s="11">
        <v>2000</v>
      </c>
      <c r="K13" s="11">
        <f>SYD($C$3,$C$6,$C$5,6)</f>
        <v>666.66666666666663</v>
      </c>
      <c r="L13" s="11">
        <f>DDB($C$3,$C$6,$C$5,6,2)</f>
        <v>373.046875</v>
      </c>
    </row>
    <row r="14" spans="1:12" x14ac:dyDescent="0.25">
      <c r="B14" t="s">
        <v>4</v>
      </c>
      <c r="C14">
        <v>2019</v>
      </c>
      <c r="D14">
        <v>3</v>
      </c>
      <c r="H14">
        <v>2023</v>
      </c>
      <c r="I14" s="11">
        <v>2222.2199999999998</v>
      </c>
      <c r="J14" s="11">
        <v>2000</v>
      </c>
      <c r="K14" s="11">
        <f>SYD($C$3,$C$6,$C$5,7)</f>
        <v>444.44444444444446</v>
      </c>
      <c r="L14" s="11">
        <f>DDB($C$3,$C$6,$C$5,7,2)</f>
        <v>0</v>
      </c>
    </row>
    <row r="15" spans="1:12" x14ac:dyDescent="0.25">
      <c r="C15">
        <v>2020</v>
      </c>
      <c r="D15">
        <v>4</v>
      </c>
      <c r="H15">
        <v>2024</v>
      </c>
      <c r="I15" s="11">
        <v>2000</v>
      </c>
      <c r="J15" s="11">
        <v>2000</v>
      </c>
      <c r="K15" s="11">
        <f>SYD($C$3,$C$6,$C$5,8)</f>
        <v>222.22222222222223</v>
      </c>
      <c r="L15" s="11">
        <f>DDB($C$3,$C$6,$C$5,8,2)</f>
        <v>0</v>
      </c>
    </row>
    <row r="16" spans="1:12" x14ac:dyDescent="0.25">
      <c r="C16">
        <v>2021</v>
      </c>
      <c r="D16">
        <v>5</v>
      </c>
    </row>
    <row r="17" spans="3:10" x14ac:dyDescent="0.25">
      <c r="C17">
        <v>2022</v>
      </c>
      <c r="D17">
        <v>6</v>
      </c>
    </row>
    <row r="18" spans="3:10" x14ac:dyDescent="0.25">
      <c r="C18">
        <v>2023</v>
      </c>
      <c r="D18">
        <v>7</v>
      </c>
      <c r="H18" s="14"/>
      <c r="I18" s="13"/>
      <c r="J18" s="11"/>
    </row>
    <row r="19" spans="3:10" x14ac:dyDescent="0.25">
      <c r="C19">
        <v>2024</v>
      </c>
      <c r="D19">
        <v>8</v>
      </c>
      <c r="I19" s="13"/>
    </row>
  </sheetData>
  <dataValidations count="2">
    <dataValidation type="list" allowBlank="1" showInputMessage="1" showErrorMessage="1" sqref="C8" xr:uid="{9F603CC1-65C0-4CCE-91B9-B65CF2E22B45}">
      <formula1>$B$12:$B$14</formula1>
    </dataValidation>
    <dataValidation type="list" allowBlank="1" showInputMessage="1" showErrorMessage="1" sqref="F3" xr:uid="{2D9A1BEF-57A0-4AF1-AFDF-3417C433CBAD}">
      <formula1>$C$11:$C$19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rade">
                <anchor moveWithCells="1" sizeWithCells="1">
                  <from>
                    <xdr:col>4</xdr:col>
                    <xdr:colOff>428625</xdr:colOff>
                    <xdr:row>6</xdr:row>
                    <xdr:rowOff>152400</xdr:rowOff>
                  </from>
                  <to>
                    <xdr:col>5</xdr:col>
                    <xdr:colOff>66675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Divya Sharma</cp:lastModifiedBy>
  <dcterms:created xsi:type="dcterms:W3CDTF">2020-04-23T22:29:21Z</dcterms:created>
  <dcterms:modified xsi:type="dcterms:W3CDTF">2021-09-12T07:54:18Z</dcterms:modified>
</cp:coreProperties>
</file>