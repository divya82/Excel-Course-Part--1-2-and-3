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WORK\Excel part 2\"/>
    </mc:Choice>
  </mc:AlternateContent>
  <xr:revisionPtr revIDLastSave="0" documentId="8_{D8AD8118-4B2E-4E04-BA46-7E4F1AAE2FBD}" xr6:coauthVersionLast="47" xr6:coauthVersionMax="47" xr10:uidLastSave="{00000000-0000-0000-0000-000000000000}"/>
  <bookViews>
    <workbookView xWindow="-120" yWindow="-120" windowWidth="20730" windowHeight="11160" xr2:uid="{75CBD5B0-E023-4A4B-A7AF-A8665FC2364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" i="1" l="1"/>
  <c r="C14" i="1" s="1"/>
  <c r="G13" i="1"/>
  <c r="C11" i="1" l="1" a="1"/>
  <c r="C11" i="1" s="1"/>
  <c r="C15" i="1" s="1"/>
  <c r="C4" i="1" s="1"/>
  <c r="G14" i="1" a="1"/>
  <c r="G14" i="1" s="1"/>
  <c r="G17" i="1" s="1"/>
  <c r="G16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<sst xmlns="http://schemas.openxmlformats.org/spreadsheetml/2006/main" count="12" uniqueCount="12">
  <si>
    <t>Time</t>
  </si>
  <si>
    <t>Flow (cfs)</t>
  </si>
  <si>
    <t>Time:</t>
  </si>
  <si>
    <t>Flow:</t>
  </si>
  <si>
    <t>Low Time:</t>
  </si>
  <si>
    <t>High Time:</t>
  </si>
  <si>
    <t>Low CFS:</t>
  </si>
  <si>
    <t>High CFS:</t>
  </si>
  <si>
    <t>cfs</t>
  </si>
  <si>
    <t>NOTE: The data only span 12:00 AM to 11:00 PM, so you won't get an estimate</t>
  </si>
  <si>
    <t>if you try to plug in something like 11:30 PM in the Time cell.</t>
  </si>
  <si>
    <t>Assignment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</si>
</sst>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[$-409]h:mm\ AM/PM;@"/>
    <numFmt numFmtId="166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20" fontId="0" fillId="0" borderId="0" xfId="0" applyNumberFormat="1"/>
    <xf numFmtId="14" fontId="1" fillId="0" borderId="0" xfId="0" applyNumberFormat="1" applyFont="1"/>
    <xf numFmtId="14" fontId="1" fillId="0" borderId="0" xfId="0" applyNumberFormat="1" applyFont="1" applyAlignment="1">
      <alignment horizontal="right"/>
    </xf>
    <xf numFmtId="164" fontId="0" fillId="0" borderId="0" xfId="0" applyNumberFormat="1"/>
    <xf numFmtId="14" fontId="1" fillId="0" borderId="2" xfId="0" applyNumberFormat="1" applyFont="1" applyBorder="1" applyAlignment="1">
      <alignment horizontal="right"/>
    </xf>
    <xf numFmtId="0" fontId="0" fillId="0" borderId="3" xfId="0" applyBorder="1"/>
    <xf numFmtId="14" fontId="1" fillId="0" borderId="4" xfId="0" applyNumberFormat="1" applyFont="1" applyBorder="1" applyAlignment="1">
      <alignment horizontal="right"/>
    </xf>
    <xf numFmtId="0" fontId="0" fillId="0" borderId="5" xfId="0" applyBorder="1"/>
    <xf numFmtId="165" fontId="0" fillId="2" borderId="1" xfId="0" applyNumberFormat="1" applyFill="1" applyBorder="1"/>
    <xf numFmtId="0" fontId="1" fillId="0" borderId="0" xfId="0" applyFont="1"/>
    <xf numFmtId="166" fontId="0" fillId="3" borderId="1" xfId="0" applyNumberFormat="1" applyFill="1" applyBorder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>
                  <a:alpha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chemeClr val="accent1">
                    <a:alpha val="60000"/>
                  </a:schemeClr>
                </a:solidFill>
              </a:ln>
              <a:effectLst/>
            </c:spPr>
          </c:marker>
          <c:xVal>
            <c:numRef>
              <c:f>Sheet1!$A$8:$A$31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8.3333333333333301E-2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0.33333333333333298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0.45833333333333298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0.58333333333333304</c:v>
                </c:pt>
                <c:pt idx="15">
                  <c:v>0.625</c:v>
                </c:pt>
                <c:pt idx="16">
                  <c:v>0.66666666666666696</c:v>
                </c:pt>
                <c:pt idx="17">
                  <c:v>0.70833333333333304</c:v>
                </c:pt>
                <c:pt idx="18">
                  <c:v>0.75</c:v>
                </c:pt>
                <c:pt idx="19">
                  <c:v>0.79166666666666696</c:v>
                </c:pt>
                <c:pt idx="20">
                  <c:v>0.83333333333333304</c:v>
                </c:pt>
                <c:pt idx="21">
                  <c:v>0.875</c:v>
                </c:pt>
                <c:pt idx="22">
                  <c:v>0.91666666666666696</c:v>
                </c:pt>
                <c:pt idx="23">
                  <c:v>0.95833333333333304</c:v>
                </c:pt>
              </c:numCache>
            </c:numRef>
          </c:xVal>
          <c:yVal>
            <c:numRef>
              <c:f>Sheet1!$B$8:$B$31</c:f>
              <c:numCache>
                <c:formatCode>General</c:formatCode>
                <c:ptCount val="24"/>
                <c:pt idx="0">
                  <c:v>51</c:v>
                </c:pt>
                <c:pt idx="1">
                  <c:v>45</c:v>
                </c:pt>
                <c:pt idx="2">
                  <c:v>47</c:v>
                </c:pt>
                <c:pt idx="3">
                  <c:v>37</c:v>
                </c:pt>
                <c:pt idx="4">
                  <c:v>39</c:v>
                </c:pt>
                <c:pt idx="5">
                  <c:v>38</c:v>
                </c:pt>
                <c:pt idx="6">
                  <c:v>42</c:v>
                </c:pt>
                <c:pt idx="7">
                  <c:v>51</c:v>
                </c:pt>
                <c:pt idx="8">
                  <c:v>60</c:v>
                </c:pt>
                <c:pt idx="9">
                  <c:v>75</c:v>
                </c:pt>
                <c:pt idx="10">
                  <c:v>89</c:v>
                </c:pt>
                <c:pt idx="11">
                  <c:v>112</c:v>
                </c:pt>
                <c:pt idx="12">
                  <c:v>150</c:v>
                </c:pt>
                <c:pt idx="13">
                  <c:v>162</c:v>
                </c:pt>
                <c:pt idx="14">
                  <c:v>183</c:v>
                </c:pt>
                <c:pt idx="15">
                  <c:v>191</c:v>
                </c:pt>
                <c:pt idx="16">
                  <c:v>225</c:v>
                </c:pt>
                <c:pt idx="17">
                  <c:v>213</c:v>
                </c:pt>
                <c:pt idx="18">
                  <c:v>197</c:v>
                </c:pt>
                <c:pt idx="19">
                  <c:v>165</c:v>
                </c:pt>
                <c:pt idx="20">
                  <c:v>134</c:v>
                </c:pt>
                <c:pt idx="21">
                  <c:v>108</c:v>
                </c:pt>
                <c:pt idx="22">
                  <c:v>76</c:v>
                </c:pt>
                <c:pt idx="23">
                  <c:v>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08-4F21-9BAC-7D6EC50B45BA}"/>
            </c:ext>
          </c:extLst>
        </c:ser>
        <c:ser>
          <c:idx val="1"/>
          <c:order val="1"/>
          <c:spPr>
            <a:ln w="19050" cap="rnd">
              <a:solidFill>
                <a:srgbClr val="FF0000">
                  <a:alpha val="60000"/>
                </a:srgbClr>
              </a:solidFill>
              <a:round/>
            </a:ln>
            <a:effectLst/>
          </c:spPr>
          <c:marker>
            <c:symbol val="triangle"/>
            <c:size val="14"/>
            <c:spPr>
              <a:solidFill>
                <a:schemeClr val="lt1"/>
              </a:solidFill>
              <a:ln w="38100">
                <a:solidFill>
                  <a:srgbClr val="FF0000">
                    <a:alpha val="60000"/>
                  </a:srgbClr>
                </a:solidFill>
              </a:ln>
              <a:effectLst/>
            </c:spPr>
          </c:marker>
          <c:xVal>
            <c:numRef>
              <c:f>Sheet1!$C$3</c:f>
              <c:numCache>
                <c:formatCode>[$-409]h:mm\ AM/PM;@</c:formatCode>
                <c:ptCount val="1"/>
                <c:pt idx="0">
                  <c:v>0.3576388888888889</c:v>
                </c:pt>
              </c:numCache>
            </c:numRef>
          </c:xVal>
          <c:yVal>
            <c:numRef>
              <c:f>Sheet1!$C$4</c:f>
              <c:numCache>
                <c:formatCode>0.0</c:formatCode>
                <c:ptCount val="1"/>
                <c:pt idx="0">
                  <c:v>68.750000000000043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708-4F21-9BAC-7D6EC50B4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1369759"/>
        <c:axId val="1151262943"/>
      </c:scatterChart>
      <c:valAx>
        <c:axId val="1041369759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of 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h:mm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1262943"/>
        <c:crosses val="autoZero"/>
        <c:crossBetween val="midCat"/>
      </c:valAx>
      <c:valAx>
        <c:axId val="1151262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feet per second (cfs)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25000"/>
                <a:lumOff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3697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15000"/>
            <a:lumOff val="85000"/>
          </a:schemeClr>
        </a:solidFill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>
            <a:alpha val="6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38100">
        <a:solidFill>
          <a:schemeClr val="phClr">
            <a:alpha val="60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25000"/>
            <a:lumOff val="75000"/>
          </a:schemeClr>
        </a:solidFill>
      </a:ln>
    </cs:spPr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385762</xdr:colOff>
      <xdr:row>6</xdr:row>
      <xdr:rowOff>9526</xdr:rowOff>
    </xdr:from>
    <xdr:to>
      <xdr:col>13</xdr:col>
      <xdr:colOff>414337</xdr:colOff>
      <xdr:row>28</xdr:row>
      <xdr:rowOff>9526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1</xdr:row>
          <xdr:rowOff>171450</xdr:rowOff>
        </xdr:from>
        <xdr:to>
          <xdr:col>6</xdr:col>
          <xdr:colOff>142875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742DD-09A2-4EF2-AAC4-6AFD0FB3077B}">
  <sheetPr codeName="Sheet1"/>
  <dimension ref="A1:H34"/>
  <sheetViews>
    <sheetView tabSelected="1" workbookViewId="0">
      <selection activeCell="C4" sqref="C4"/>
    </sheetView>
  </sheetViews>
  <sheetFormatPr defaultRowHeight="15" x14ac:dyDescent="0.25"/>
  <cols>
    <col min="3" max="3" width="10.28515625" customWidth="1"/>
    <col min="7" max="8" width="11" bestFit="1" customWidth="1"/>
  </cols>
  <sheetData>
    <row r="1" spans="1:8" x14ac:dyDescent="0.25">
      <c r="A1" s="2" t="s">
        <v>11</v>
      </c>
    </row>
    <row r="2" spans="1:8" x14ac:dyDescent="0.25">
      <c r="A2" s="2"/>
    </row>
    <row r="3" spans="1:8" x14ac:dyDescent="0.25">
      <c r="B3" s="5" t="s">
        <v>2</v>
      </c>
      <c r="C3" s="9">
        <v>0.3576388888888889</v>
      </c>
      <c r="D3" s="6"/>
    </row>
    <row r="4" spans="1:8" x14ac:dyDescent="0.25">
      <c r="B4" s="7" t="s">
        <v>3</v>
      </c>
      <c r="C4" s="11">
        <f>_xlfn.FORECAST.LINEAR(C3,$C$14:$C$15,$C$10:$C$11)</f>
        <v>68.750000000000043</v>
      </c>
      <c r="D4" s="8" t="s">
        <v>8</v>
      </c>
      <c r="H4" s="4"/>
    </row>
    <row r="5" spans="1:8" x14ac:dyDescent="0.25">
      <c r="A5" s="3"/>
    </row>
    <row r="6" spans="1:8" x14ac:dyDescent="0.25">
      <c r="A6" s="3"/>
    </row>
    <row r="7" spans="1:8" x14ac:dyDescent="0.25">
      <c r="A7" s="10" t="s">
        <v>0</v>
      </c>
      <c r="B7" s="10" t="s">
        <v>1</v>
      </c>
    </row>
    <row r="8" spans="1:8" x14ac:dyDescent="0.25">
      <c r="A8" s="1">
        <v>0</v>
      </c>
      <c r="B8">
        <v>51</v>
      </c>
    </row>
    <row r="9" spans="1:8" x14ac:dyDescent="0.25">
      <c r="A9" s="1">
        <v>4.1666666666666664E-2</v>
      </c>
      <c r="B9">
        <v>45</v>
      </c>
    </row>
    <row r="10" spans="1:8" x14ac:dyDescent="0.25">
      <c r="A10" s="1">
        <v>8.3333333333333301E-2</v>
      </c>
      <c r="B10">
        <v>47</v>
      </c>
      <c r="C10" s="12">
        <f>VLOOKUP(C3,A8:B31,1,TRUE)</f>
        <v>0.33333333333333298</v>
      </c>
    </row>
    <row r="11" spans="1:8" x14ac:dyDescent="0.25">
      <c r="A11" s="1">
        <v>0.125</v>
      </c>
      <c r="B11">
        <v>37</v>
      </c>
      <c r="C11" s="12" cm="1">
        <f t="array" ref="C11">INDEX(A8:A31,MATCH(C10,A8:A31)+1)</f>
        <v>0.375</v>
      </c>
    </row>
    <row r="12" spans="1:8" x14ac:dyDescent="0.25">
      <c r="A12" s="1">
        <v>0.16666666666666699</v>
      </c>
      <c r="B12">
        <v>39</v>
      </c>
    </row>
    <row r="13" spans="1:8" x14ac:dyDescent="0.25">
      <c r="A13" s="1">
        <v>0.20833333333333301</v>
      </c>
      <c r="B13">
        <v>38</v>
      </c>
      <c r="F13" t="s">
        <v>4</v>
      </c>
      <c r="G13" s="4" t="e">
        <f>VLOOKUP($C$3,data,1,TRUE)</f>
        <v>#NAME?</v>
      </c>
    </row>
    <row r="14" spans="1:8" x14ac:dyDescent="0.25">
      <c r="A14" s="1">
        <v>0.25</v>
      </c>
      <c r="B14">
        <v>42</v>
      </c>
      <c r="C14">
        <f>VLOOKUP(C10,A8:B31,2,0)</f>
        <v>60</v>
      </c>
      <c r="F14" t="s">
        <v>5</v>
      </c>
      <c r="G14" s="4" t="e" cm="1">
        <f t="array" ref="G14">INDEX($A$8:$A$31,MATCH(G13,$A$8:$A$31,0)+1)</f>
        <v>#NAME?</v>
      </c>
    </row>
    <row r="15" spans="1:8" x14ac:dyDescent="0.25">
      <c r="A15" s="1">
        <v>0.29166666666666702</v>
      </c>
      <c r="B15">
        <v>51</v>
      </c>
      <c r="C15">
        <f>VLOOKUP(C11,A8:B32,2,0)</f>
        <v>75</v>
      </c>
    </row>
    <row r="16" spans="1:8" x14ac:dyDescent="0.25">
      <c r="A16" s="1">
        <v>0.33333333333333298</v>
      </c>
      <c r="B16">
        <v>60</v>
      </c>
      <c r="F16" t="s">
        <v>6</v>
      </c>
      <c r="G16" t="e">
        <f>VLOOKUP(G13,data,2,FALSE)</f>
        <v>#NAME?</v>
      </c>
    </row>
    <row r="17" spans="1:7" x14ac:dyDescent="0.25">
      <c r="A17" s="1">
        <v>0.375</v>
      </c>
      <c r="B17">
        <v>75</v>
      </c>
      <c r="F17" t="s">
        <v>7</v>
      </c>
      <c r="G17" t="e">
        <f>VLOOKUP(G14,data,2,FALSE)</f>
        <v>#NAME?</v>
      </c>
    </row>
    <row r="18" spans="1:7" x14ac:dyDescent="0.25">
      <c r="A18" s="1">
        <v>0.41666666666666702</v>
      </c>
      <c r="B18">
        <v>89</v>
      </c>
    </row>
    <row r="19" spans="1:7" x14ac:dyDescent="0.25">
      <c r="A19" s="1">
        <v>0.45833333333333298</v>
      </c>
      <c r="B19">
        <v>112</v>
      </c>
    </row>
    <row r="20" spans="1:7" x14ac:dyDescent="0.25">
      <c r="A20" s="1">
        <v>0.5</v>
      </c>
      <c r="B20">
        <v>150</v>
      </c>
    </row>
    <row r="21" spans="1:7" x14ac:dyDescent="0.25">
      <c r="A21" s="1">
        <v>0.54166666666666696</v>
      </c>
      <c r="B21">
        <v>162</v>
      </c>
    </row>
    <row r="22" spans="1:7" x14ac:dyDescent="0.25">
      <c r="A22" s="1">
        <v>0.58333333333333304</v>
      </c>
      <c r="B22">
        <v>183</v>
      </c>
    </row>
    <row r="23" spans="1:7" x14ac:dyDescent="0.25">
      <c r="A23" s="1">
        <v>0.625</v>
      </c>
      <c r="B23">
        <v>191</v>
      </c>
    </row>
    <row r="24" spans="1:7" x14ac:dyDescent="0.25">
      <c r="A24" s="1">
        <v>0.66666666666666696</v>
      </c>
      <c r="B24">
        <v>225</v>
      </c>
    </row>
    <row r="25" spans="1:7" x14ac:dyDescent="0.25">
      <c r="A25" s="1">
        <v>0.70833333333333304</v>
      </c>
      <c r="B25">
        <v>213</v>
      </c>
    </row>
    <row r="26" spans="1:7" x14ac:dyDescent="0.25">
      <c r="A26" s="1">
        <v>0.75</v>
      </c>
      <c r="B26">
        <v>197</v>
      </c>
    </row>
    <row r="27" spans="1:7" x14ac:dyDescent="0.25">
      <c r="A27" s="1">
        <v>0.79166666666666696</v>
      </c>
      <c r="B27">
        <v>165</v>
      </c>
    </row>
    <row r="28" spans="1:7" x14ac:dyDescent="0.25">
      <c r="A28" s="1">
        <v>0.83333333333333304</v>
      </c>
      <c r="B28">
        <v>134</v>
      </c>
    </row>
    <row r="29" spans="1:7" x14ac:dyDescent="0.25">
      <c r="A29" s="1">
        <v>0.875</v>
      </c>
      <c r="B29">
        <v>108</v>
      </c>
    </row>
    <row r="30" spans="1:7" x14ac:dyDescent="0.25">
      <c r="A30" s="1">
        <v>0.91666666666666696</v>
      </c>
      <c r="B30">
        <v>76</v>
      </c>
    </row>
    <row r="31" spans="1:7" x14ac:dyDescent="0.25">
      <c r="A31" s="1">
        <v>0.95833333333333304</v>
      </c>
      <c r="B31">
        <v>62</v>
      </c>
    </row>
    <row r="33" spans="1:1" x14ac:dyDescent="0.25">
      <c r="A33" t="s">
        <v>9</v>
      </c>
    </row>
    <row r="34" spans="1:1" x14ac:dyDescent="0.25">
      <c r="A34" t="s">
        <v>10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de">
                <anchor moveWithCells="1" sizeWithCells="1">
                  <from>
                    <xdr:col>4</xdr:col>
                    <xdr:colOff>647700</xdr:colOff>
                    <xdr:row>1</xdr:row>
                    <xdr:rowOff>171450</xdr:rowOff>
                  </from>
                  <to>
                    <xdr:col>6</xdr:col>
                    <xdr:colOff>142875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Divya Sharma</cp:lastModifiedBy>
  <dcterms:created xsi:type="dcterms:W3CDTF">2020-04-25T00:55:07Z</dcterms:created>
  <dcterms:modified xsi:type="dcterms:W3CDTF">2021-09-19T12:29:35Z</dcterms:modified>
</cp:coreProperties>
</file>