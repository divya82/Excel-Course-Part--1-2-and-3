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13_ncr:1_{D447650F-BBA6-4BED-A467-46E4FB90FB03}" xr6:coauthVersionLast="47" xr6:coauthVersionMax="47" xr10:uidLastSave="{00000000-0000-0000-0000-000000000000}"/>
  <bookViews>
    <workbookView xWindow="-120" yWindow="-120" windowWidth="20730" windowHeight="11160" xr2:uid="{5218CD8B-51B5-4776-9395-7616CEF3F8E2}"/>
  </bookViews>
  <sheets>
    <sheet name="Sheet1" sheetId="1" r:id="rId1"/>
  </sheets>
  <definedNames>
    <definedName name="A">Sheet1!$B$7</definedName>
    <definedName name="i">Sheet1!$B$3</definedName>
    <definedName name="n">Sheet1!$B$5</definedName>
    <definedName name="P">Sheet1!$B$4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/>
  <c r="E11" i="1" a="1"/>
  <c r="E11" i="1" s="1"/>
  <c r="F11" i="1" s="1" a="1"/>
  <c r="F11" i="1" s="1"/>
  <c r="A11" i="1" a="1"/>
  <c r="A11" i="1" s="1"/>
  <c r="D11" i="1" l="1" a="1"/>
  <c r="D11" i="1" s="1"/>
  <c r="B11" i="1" s="1" a="1"/>
  <c r="B11" i="1" s="1"/>
  <c r="C11" i="1" a="1"/>
  <c r="C1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<sst xmlns="http://schemas.openxmlformats.org/spreadsheetml/2006/main" count="15" uniqueCount="15">
  <si>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i</t>
  </si>
  <si>
    <t>annual interest rate</t>
  </si>
  <si>
    <t>P</t>
  </si>
  <si>
    <t>loan amount</t>
  </si>
  <si>
    <t>n</t>
  </si>
  <si>
    <t>number of years</t>
  </si>
  <si>
    <t>A</t>
  </si>
  <si>
    <t>Month</t>
  </si>
  <si>
    <t>Beg. Balance</t>
  </si>
  <si>
    <t>Interest</t>
  </si>
  <si>
    <t>Ending Balance</t>
  </si>
  <si>
    <t>monthly payment</t>
  </si>
  <si>
    <t>Dynamic Amortization Schedule</t>
  </si>
  <si>
    <t>Cumulative Principle</t>
  </si>
  <si>
    <t>To Principle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</si>
</sst>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44" fontId="0" fillId="0" borderId="0" xfId="1" applyFont="1"/>
    <xf numFmtId="0" fontId="0" fillId="0" borderId="0" xfId="0" applyAlignment="1">
      <alignment horizontal="center" wrapText="1"/>
    </xf>
    <xf numFmtId="44" fontId="0" fillId="0" borderId="0" xfId="0" applyNumberFormat="1"/>
    <xf numFmtId="8" fontId="0" fillId="0" borderId="1" xfId="0" applyNumberFormat="1" applyBorder="1"/>
    <xf numFmtId="0" fontId="2" fillId="0" borderId="0" xfId="0" applyFont="1"/>
    <xf numFmtId="8" fontId="0" fillId="0" borderId="0" xfId="0" applyNumberFormat="1"/>
    <xf numFmtId="44" fontId="0" fillId="0" borderId="0" xfId="1" applyNumberFormat="1" applyFont="1"/>
    <xf numFmtId="165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3</xdr:row>
          <xdr:rowOff>114300</xdr:rowOff>
        </xdr:from>
        <xdr:to>
          <xdr:col>5</xdr:col>
          <xdr:colOff>666750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7ABEF-5C66-40FB-94D6-7F79C3D14E39}">
  <sheetPr codeName="Sheet1"/>
  <dimension ref="A1:H370"/>
  <sheetViews>
    <sheetView tabSelected="1" workbookViewId="0">
      <selection activeCell="L10" sqref="L10"/>
    </sheetView>
  </sheetViews>
  <sheetFormatPr defaultRowHeight="15" x14ac:dyDescent="0.25"/>
  <cols>
    <col min="2" max="2" width="12.5703125" bestFit="1" customWidth="1"/>
    <col min="3" max="3" width="10.42578125" bestFit="1" customWidth="1"/>
    <col min="4" max="4" width="9.85546875" bestFit="1" customWidth="1"/>
    <col min="5" max="5" width="11.85546875" bestFit="1" customWidth="1"/>
    <col min="6" max="6" width="12.5703125" bestFit="1" customWidth="1"/>
    <col min="7" max="7" width="9.28515625" customWidth="1"/>
    <col min="8" max="8" width="10.5703125" bestFit="1" customWidth="1"/>
  </cols>
  <sheetData>
    <row r="1" spans="1:8" x14ac:dyDescent="0.25">
      <c r="A1" s="5" t="s">
        <v>12</v>
      </c>
    </row>
    <row r="3" spans="1:8" x14ac:dyDescent="0.25">
      <c r="A3" t="s">
        <v>0</v>
      </c>
      <c r="B3">
        <v>0.05</v>
      </c>
      <c r="C3" t="s">
        <v>1</v>
      </c>
    </row>
    <row r="4" spans="1:8" x14ac:dyDescent="0.25">
      <c r="A4" t="s">
        <v>2</v>
      </c>
      <c r="B4" s="8">
        <v>300000</v>
      </c>
      <c r="C4" t="s">
        <v>3</v>
      </c>
    </row>
    <row r="5" spans="1:8" x14ac:dyDescent="0.25">
      <c r="A5" t="s">
        <v>4</v>
      </c>
      <c r="B5">
        <v>5</v>
      </c>
      <c r="C5" t="s">
        <v>5</v>
      </c>
    </row>
    <row r="6" spans="1:8" ht="15.75" thickBot="1" x14ac:dyDescent="0.3"/>
    <row r="7" spans="1:8" ht="15.75" thickBot="1" x14ac:dyDescent="0.3">
      <c r="A7" t="s">
        <v>6</v>
      </c>
      <c r="B7" s="4">
        <f>-PMT(i/12,n*12,P)</f>
        <v>5661.3700932032807</v>
      </c>
      <c r="C7" t="s">
        <v>11</v>
      </c>
    </row>
    <row r="10" spans="1:8" ht="30" x14ac:dyDescent="0.25">
      <c r="A10" s="2" t="s">
        <v>7</v>
      </c>
      <c r="B10" s="2" t="s">
        <v>8</v>
      </c>
      <c r="C10" s="2" t="s">
        <v>9</v>
      </c>
      <c r="D10" s="2" t="s">
        <v>14</v>
      </c>
      <c r="E10" s="2" t="s">
        <v>13</v>
      </c>
      <c r="F10" s="2" t="s">
        <v>10</v>
      </c>
    </row>
    <row r="11" spans="1:8" x14ac:dyDescent="0.25">
      <c r="A11" cm="1">
        <f t="array" ref="A11:A70">_xlfn.SEQUENCE(n*12)</f>
        <v>1</v>
      </c>
      <c r="B11" s="7" cm="1">
        <f t="array" ref="B11:B70">_xlfn.ANCHORARRAY(F11)+_xlfn.ANCHORARRAY(D11)</f>
        <v>300000</v>
      </c>
      <c r="C11" s="6" cm="1">
        <f t="array" ref="C11:C70">-IPMT(i/12,_xlfn.ANCHORARRAY(A11),n*12,P)</f>
        <v>1250</v>
      </c>
      <c r="D11" s="6" cm="1">
        <f t="array" ref="D11:D70">-PPMT(i/12,_xlfn.ANCHORARRAY(A11),n*12,P)</f>
        <v>4411.3700932032807</v>
      </c>
      <c r="E11" s="3" cm="1">
        <f t="array" ref="E11:E70">-CUMPRINC(i/12,n*12,P,1,_xlfn.SEQUENCE(n*12),0)</f>
        <v>4411.3700932032798</v>
      </c>
      <c r="F11" s="3" cm="1">
        <f t="array" ref="F11:F70">P-_xlfn.ANCHORARRAY(E11)</f>
        <v>295588.62990679673</v>
      </c>
      <c r="H11" s="3"/>
    </row>
    <row r="12" spans="1:8" x14ac:dyDescent="0.25">
      <c r="A12">
        <v>2</v>
      </c>
      <c r="B12" s="1">
        <v>295588.62990679673</v>
      </c>
      <c r="C12" s="6">
        <v>1231.6192912783195</v>
      </c>
      <c r="D12" s="6">
        <v>4429.7508019249617</v>
      </c>
      <c r="E12" s="3">
        <v>8841.1208951282406</v>
      </c>
      <c r="F12" s="3">
        <v>291158.87910487177</v>
      </c>
    </row>
    <row r="13" spans="1:8" x14ac:dyDescent="0.25">
      <c r="A13">
        <v>3</v>
      </c>
      <c r="B13" s="1">
        <v>291158.87910487177</v>
      </c>
      <c r="C13" s="6">
        <v>1213.1619962702989</v>
      </c>
      <c r="D13" s="6">
        <v>4448.2080969329818</v>
      </c>
      <c r="E13" s="3">
        <v>13289.328992061219</v>
      </c>
      <c r="F13" s="3">
        <v>286710.6710079388</v>
      </c>
    </row>
    <row r="14" spans="1:8" x14ac:dyDescent="0.25">
      <c r="A14">
        <v>4</v>
      </c>
      <c r="B14" s="1">
        <v>286710.6710079388</v>
      </c>
      <c r="C14" s="6">
        <v>1194.6277958664116</v>
      </c>
      <c r="D14" s="6">
        <v>4466.7422973368693</v>
      </c>
      <c r="E14" s="3">
        <v>17756.071289398085</v>
      </c>
      <c r="F14" s="3">
        <v>282243.92871060193</v>
      </c>
    </row>
    <row r="15" spans="1:8" x14ac:dyDescent="0.25">
      <c r="A15">
        <v>5</v>
      </c>
      <c r="B15" s="1">
        <v>282243.92871060193</v>
      </c>
      <c r="C15" s="6">
        <v>1176.0163696275081</v>
      </c>
      <c r="D15" s="6">
        <v>4485.3537235757731</v>
      </c>
      <c r="E15" s="3">
        <v>22241.425012973861</v>
      </c>
      <c r="F15" s="3">
        <v>277758.57498702616</v>
      </c>
    </row>
    <row r="16" spans="1:8" x14ac:dyDescent="0.25">
      <c r="A16">
        <v>6</v>
      </c>
      <c r="B16" s="1">
        <v>277758.57498702616</v>
      </c>
      <c r="C16" s="6">
        <v>1157.3273957792753</v>
      </c>
      <c r="D16" s="6">
        <v>4504.0426974240054</v>
      </c>
      <c r="E16" s="3">
        <v>26745.467710397865</v>
      </c>
      <c r="F16" s="3">
        <v>273254.53228960215</v>
      </c>
    </row>
    <row r="17" spans="1:6" x14ac:dyDescent="0.25">
      <c r="A17">
        <v>7</v>
      </c>
      <c r="B17" s="1">
        <v>273254.53228960215</v>
      </c>
      <c r="C17" s="6">
        <v>1138.5605512066754</v>
      </c>
      <c r="D17" s="6">
        <v>4522.8095419966048</v>
      </c>
      <c r="E17" s="3">
        <v>31268.27725239447</v>
      </c>
      <c r="F17" s="3">
        <v>268731.72274760553</v>
      </c>
    </row>
    <row r="18" spans="1:6" x14ac:dyDescent="0.25">
      <c r="A18">
        <v>8</v>
      </c>
      <c r="B18" s="1">
        <v>268731.72274760553</v>
      </c>
      <c r="C18" s="6">
        <v>1119.7155114483564</v>
      </c>
      <c r="D18" s="6">
        <v>4541.654581754924</v>
      </c>
      <c r="E18" s="3">
        <v>35809.931834149393</v>
      </c>
      <c r="F18" s="3">
        <v>264190.06816585059</v>
      </c>
    </row>
    <row r="19" spans="1:6" x14ac:dyDescent="0.25">
      <c r="A19">
        <v>9</v>
      </c>
      <c r="B19" s="1">
        <v>264190.06816585059</v>
      </c>
      <c r="C19" s="6">
        <v>1100.7919506910441</v>
      </c>
      <c r="D19" s="6">
        <v>4560.5781425122368</v>
      </c>
      <c r="E19" s="3">
        <v>40370.509976661626</v>
      </c>
      <c r="F19" s="3">
        <v>259629.49002333838</v>
      </c>
    </row>
    <row r="20" spans="1:6" x14ac:dyDescent="0.25">
      <c r="A20">
        <v>10</v>
      </c>
      <c r="B20" s="1">
        <v>259629.49002333838</v>
      </c>
      <c r="C20" s="6">
        <v>1081.7895417639097</v>
      </c>
      <c r="D20" s="6">
        <v>4579.5805514393714</v>
      </c>
      <c r="E20" s="3">
        <v>44950.090528100998</v>
      </c>
      <c r="F20" s="3">
        <v>255049.90947189901</v>
      </c>
    </row>
    <row r="21" spans="1:6" x14ac:dyDescent="0.25">
      <c r="A21">
        <v>11</v>
      </c>
      <c r="B21" s="1">
        <v>255049.90947189901</v>
      </c>
      <c r="C21" s="6">
        <v>1062.7079561329126</v>
      </c>
      <c r="D21" s="6">
        <v>4598.6621370703679</v>
      </c>
      <c r="E21" s="3">
        <v>49548.752665171371</v>
      </c>
      <c r="F21" s="3">
        <v>250451.24733482863</v>
      </c>
    </row>
    <row r="22" spans="1:6" x14ac:dyDescent="0.25">
      <c r="A22">
        <v>12</v>
      </c>
      <c r="B22" s="1">
        <v>250451.24733482863</v>
      </c>
      <c r="C22" s="6">
        <v>1043.5468638951193</v>
      </c>
      <c r="D22" s="6">
        <v>4617.8232293081619</v>
      </c>
      <c r="E22" s="3">
        <v>54166.575894479531</v>
      </c>
      <c r="F22" s="3">
        <v>245833.42410552048</v>
      </c>
    </row>
    <row r="23" spans="1:6" x14ac:dyDescent="0.25">
      <c r="A23">
        <v>13</v>
      </c>
      <c r="B23" s="1">
        <v>245833.42410552048</v>
      </c>
      <c r="C23" s="6">
        <v>1024.3059337730019</v>
      </c>
      <c r="D23" s="6">
        <v>4637.0641594302788</v>
      </c>
      <c r="E23" s="3">
        <v>58803.640053909803</v>
      </c>
      <c r="F23" s="3">
        <v>241196.3599460902</v>
      </c>
    </row>
    <row r="24" spans="1:6" x14ac:dyDescent="0.25">
      <c r="A24">
        <v>14</v>
      </c>
      <c r="B24" s="1">
        <v>241196.3599460902</v>
      </c>
      <c r="C24" s="6">
        <v>1004.984833108709</v>
      </c>
      <c r="D24" s="6">
        <v>4656.3852600945711</v>
      </c>
      <c r="E24" s="3">
        <v>63460.025314004371</v>
      </c>
      <c r="F24" s="3">
        <v>236539.97468599564</v>
      </c>
    </row>
    <row r="25" spans="1:6" x14ac:dyDescent="0.25">
      <c r="A25">
        <v>15</v>
      </c>
      <c r="B25" s="1">
        <v>236539.97468599561</v>
      </c>
      <c r="C25" s="6">
        <v>985.58322785831513</v>
      </c>
      <c r="D25" s="6">
        <v>4675.7868653449659</v>
      </c>
      <c r="E25" s="3">
        <v>68135.812179349348</v>
      </c>
      <c r="F25" s="3">
        <v>231864.18782065064</v>
      </c>
    </row>
    <row r="26" spans="1:6" x14ac:dyDescent="0.25">
      <c r="A26">
        <v>16</v>
      </c>
      <c r="B26" s="1">
        <v>231864.18782065067</v>
      </c>
      <c r="C26" s="6">
        <v>966.10078258604426</v>
      </c>
      <c r="D26" s="6">
        <v>4695.2693106172364</v>
      </c>
      <c r="E26" s="3">
        <v>72831.081489966571</v>
      </c>
      <c r="F26" s="3">
        <v>227168.91851003343</v>
      </c>
    </row>
    <row r="27" spans="1:6" x14ac:dyDescent="0.25">
      <c r="A27">
        <v>17</v>
      </c>
      <c r="B27" s="1">
        <v>227168.91851003346</v>
      </c>
      <c r="C27" s="6">
        <v>946.5371604584725</v>
      </c>
      <c r="D27" s="6">
        <v>4714.8329327448073</v>
      </c>
      <c r="E27" s="3">
        <v>77545.914422711372</v>
      </c>
      <c r="F27" s="3">
        <v>222454.08557728864</v>
      </c>
    </row>
    <row r="28" spans="1:6" x14ac:dyDescent="0.25">
      <c r="A28">
        <v>18</v>
      </c>
      <c r="B28" s="1">
        <v>222454.08557728864</v>
      </c>
      <c r="C28" s="6">
        <v>926.89202323870256</v>
      </c>
      <c r="D28" s="6">
        <v>4734.478069964578</v>
      </c>
      <c r="E28" s="3">
        <v>82280.39249267595</v>
      </c>
      <c r="F28" s="3">
        <v>217719.60750732405</v>
      </c>
    </row>
    <row r="29" spans="1:6" x14ac:dyDescent="0.25">
      <c r="A29">
        <v>19</v>
      </c>
      <c r="B29" s="1">
        <v>217719.60750732402</v>
      </c>
      <c r="C29" s="6">
        <v>907.1650312805167</v>
      </c>
      <c r="D29" s="6">
        <v>4754.2050619227639</v>
      </c>
      <c r="E29" s="3">
        <v>87034.597554598731</v>
      </c>
      <c r="F29" s="3">
        <v>212965.40244540127</v>
      </c>
    </row>
    <row r="30" spans="1:6" x14ac:dyDescent="0.25">
      <c r="A30">
        <v>20</v>
      </c>
      <c r="B30" s="1">
        <v>212965.4024454013</v>
      </c>
      <c r="C30" s="6">
        <v>887.35584352250544</v>
      </c>
      <c r="D30" s="6">
        <v>4774.0142496807748</v>
      </c>
      <c r="E30" s="3">
        <v>91808.61180427947</v>
      </c>
      <c r="F30" s="3">
        <v>208191.38819572053</v>
      </c>
    </row>
    <row r="31" spans="1:6" x14ac:dyDescent="0.25">
      <c r="A31">
        <v>21</v>
      </c>
      <c r="B31" s="1">
        <v>208191.3881957205</v>
      </c>
      <c r="C31" s="6">
        <v>867.4641174821686</v>
      </c>
      <c r="D31" s="6">
        <v>4793.9059757211116</v>
      </c>
      <c r="E31" s="3">
        <v>96602.517780000606</v>
      </c>
      <c r="F31" s="3">
        <v>203397.48221999939</v>
      </c>
    </row>
    <row r="32" spans="1:6" x14ac:dyDescent="0.25">
      <c r="A32">
        <v>22</v>
      </c>
      <c r="B32" s="1">
        <v>203397.48221999939</v>
      </c>
      <c r="C32" s="6">
        <v>847.48950924999747</v>
      </c>
      <c r="D32" s="6">
        <v>4813.8805839532833</v>
      </c>
      <c r="E32" s="3">
        <v>101416.39836395389</v>
      </c>
      <c r="F32" s="3">
        <v>198583.60163604611</v>
      </c>
    </row>
    <row r="33" spans="1:6" x14ac:dyDescent="0.25">
      <c r="A33">
        <v>23</v>
      </c>
      <c r="B33" s="1">
        <v>198583.60163604614</v>
      </c>
      <c r="C33" s="6">
        <v>827.4316734835254</v>
      </c>
      <c r="D33" s="6">
        <v>4833.9384197197551</v>
      </c>
      <c r="E33" s="3">
        <v>106250.33678367363</v>
      </c>
      <c r="F33" s="3">
        <v>193749.66321632639</v>
      </c>
    </row>
    <row r="34" spans="1:6" x14ac:dyDescent="0.25">
      <c r="A34">
        <v>24</v>
      </c>
      <c r="B34" s="1">
        <v>193749.66321632636</v>
      </c>
      <c r="C34" s="6">
        <v>807.29026340135977</v>
      </c>
      <c r="D34" s="6">
        <v>4854.0798298019208</v>
      </c>
      <c r="E34" s="3">
        <v>111104.41661347557</v>
      </c>
      <c r="F34" s="3">
        <v>188895.58338652443</v>
      </c>
    </row>
    <row r="35" spans="1:6" x14ac:dyDescent="0.25">
      <c r="A35">
        <v>25</v>
      </c>
      <c r="B35" s="1">
        <v>188895.58338652441</v>
      </c>
      <c r="C35" s="6">
        <v>787.06493077718505</v>
      </c>
      <c r="D35" s="6">
        <v>4874.3051624260961</v>
      </c>
      <c r="E35" s="3">
        <v>115978.72177590166</v>
      </c>
      <c r="F35" s="3">
        <v>184021.27822409832</v>
      </c>
    </row>
    <row r="36" spans="1:6" x14ac:dyDescent="0.25">
      <c r="A36">
        <v>26</v>
      </c>
      <c r="B36" s="1">
        <v>184021.27822409838</v>
      </c>
      <c r="C36" s="6">
        <v>766.75532593374305</v>
      </c>
      <c r="D36" s="6">
        <v>4894.6147672695379</v>
      </c>
      <c r="E36" s="3">
        <v>120873.33654317117</v>
      </c>
      <c r="F36" s="3">
        <v>179126.66345682883</v>
      </c>
    </row>
    <row r="37" spans="1:6" x14ac:dyDescent="0.25">
      <c r="A37">
        <v>27</v>
      </c>
      <c r="B37" s="1">
        <v>179126.6634568288</v>
      </c>
      <c r="C37" s="6">
        <v>746.36109773678663</v>
      </c>
      <c r="D37" s="6">
        <v>4915.0089954664936</v>
      </c>
      <c r="E37" s="3">
        <v>125788.34553863769</v>
      </c>
      <c r="F37" s="3">
        <v>174211.65446136231</v>
      </c>
    </row>
    <row r="38" spans="1:6" x14ac:dyDescent="0.25">
      <c r="A38">
        <v>28</v>
      </c>
      <c r="B38" s="1">
        <v>174211.65446136231</v>
      </c>
      <c r="C38" s="6">
        <v>725.88189358900945</v>
      </c>
      <c r="D38" s="6">
        <v>4935.4881996142703</v>
      </c>
      <c r="E38" s="3">
        <v>130723.83373825197</v>
      </c>
      <c r="F38" s="3">
        <v>169276.16626174803</v>
      </c>
    </row>
    <row r="39" spans="1:6" x14ac:dyDescent="0.25">
      <c r="A39">
        <v>29</v>
      </c>
      <c r="B39" s="1">
        <v>169276.16626174803</v>
      </c>
      <c r="C39" s="6">
        <v>705.31735942395017</v>
      </c>
      <c r="D39" s="6">
        <v>4956.052733779331</v>
      </c>
      <c r="E39" s="3">
        <v>135679.8864720313</v>
      </c>
      <c r="F39" s="3">
        <v>164320.1135279687</v>
      </c>
    </row>
    <row r="40" spans="1:6" x14ac:dyDescent="0.25">
      <c r="A40">
        <v>30</v>
      </c>
      <c r="B40" s="1">
        <v>164320.1135279687</v>
      </c>
      <c r="C40" s="6">
        <v>684.66713969986972</v>
      </c>
      <c r="D40" s="6">
        <v>4976.7029535034108</v>
      </c>
      <c r="E40" s="3">
        <v>140656.58942553471</v>
      </c>
      <c r="F40" s="3">
        <v>159343.41057446529</v>
      </c>
    </row>
    <row r="41" spans="1:6" x14ac:dyDescent="0.25">
      <c r="A41">
        <v>31</v>
      </c>
      <c r="B41" s="1">
        <v>159343.41057446532</v>
      </c>
      <c r="C41" s="6">
        <v>663.93087739360533</v>
      </c>
      <c r="D41" s="6">
        <v>4997.4392158096753</v>
      </c>
      <c r="E41" s="3">
        <v>145654.02864134437</v>
      </c>
      <c r="F41" s="3">
        <v>154345.97135865563</v>
      </c>
    </row>
    <row r="42" spans="1:6" x14ac:dyDescent="0.25">
      <c r="A42">
        <v>32</v>
      </c>
      <c r="B42" s="1">
        <v>154345.97135865563</v>
      </c>
      <c r="C42" s="6">
        <v>643.10821399439851</v>
      </c>
      <c r="D42" s="6">
        <v>5018.2618792088824</v>
      </c>
      <c r="E42" s="3">
        <v>150672.29052055324</v>
      </c>
      <c r="F42" s="3">
        <v>149327.70947944676</v>
      </c>
    </row>
    <row r="43" spans="1:6" x14ac:dyDescent="0.25">
      <c r="A43">
        <v>33</v>
      </c>
      <c r="B43" s="1">
        <v>149327.70947944676</v>
      </c>
      <c r="C43" s="6">
        <v>622.19878949769486</v>
      </c>
      <c r="D43" s="6">
        <v>5039.1713037055861</v>
      </c>
      <c r="E43" s="3">
        <v>155711.46182425882</v>
      </c>
      <c r="F43" s="3">
        <v>144288.53817574118</v>
      </c>
    </row>
    <row r="44" spans="1:6" x14ac:dyDescent="0.25">
      <c r="A44">
        <v>34</v>
      </c>
      <c r="B44" s="1">
        <v>144288.53817574115</v>
      </c>
      <c r="C44" s="6">
        <v>601.2022423989215</v>
      </c>
      <c r="D44" s="6">
        <v>5060.1678508043587</v>
      </c>
      <c r="E44" s="3">
        <v>160771.62967506322</v>
      </c>
      <c r="F44" s="3">
        <v>139228.37032493678</v>
      </c>
    </row>
    <row r="45" spans="1:6" x14ac:dyDescent="0.25">
      <c r="A45">
        <v>35</v>
      </c>
      <c r="B45" s="1">
        <v>139228.37032493681</v>
      </c>
      <c r="C45" s="6">
        <v>580.11820968723657</v>
      </c>
      <c r="D45" s="6">
        <v>5081.2518835160445</v>
      </c>
      <c r="E45" s="3">
        <v>165852.88155857925</v>
      </c>
      <c r="F45" s="3">
        <v>134147.11844142075</v>
      </c>
    </row>
    <row r="46" spans="1:6" x14ac:dyDescent="0.25">
      <c r="A46">
        <v>36</v>
      </c>
      <c r="B46" s="1">
        <v>134147.11844142075</v>
      </c>
      <c r="C46" s="6">
        <v>558.94632683925329</v>
      </c>
      <c r="D46" s="6">
        <v>5102.4237663640279</v>
      </c>
      <c r="E46" s="3">
        <v>170955.30532494327</v>
      </c>
      <c r="F46" s="3">
        <v>129044.69467505673</v>
      </c>
    </row>
    <row r="47" spans="1:6" x14ac:dyDescent="0.25">
      <c r="A47">
        <v>37</v>
      </c>
      <c r="B47" s="1">
        <v>129044.69467505676</v>
      </c>
      <c r="C47" s="6">
        <v>537.68622781273632</v>
      </c>
      <c r="D47" s="6">
        <v>5123.6838653905443</v>
      </c>
      <c r="E47" s="3">
        <v>176078.98919033378</v>
      </c>
      <c r="F47" s="3">
        <v>123921.01080966622</v>
      </c>
    </row>
    <row r="48" spans="1:6" x14ac:dyDescent="0.25">
      <c r="A48">
        <v>38</v>
      </c>
      <c r="B48" s="1">
        <v>123921.01080966616</v>
      </c>
      <c r="C48" s="6">
        <v>516.3375450402757</v>
      </c>
      <c r="D48" s="6">
        <v>5145.0325481630043</v>
      </c>
      <c r="E48" s="3">
        <v>181224.02173849684</v>
      </c>
      <c r="F48" s="3">
        <v>118775.97826150316</v>
      </c>
    </row>
    <row r="49" spans="1:6" x14ac:dyDescent="0.25">
      <c r="A49">
        <v>39</v>
      </c>
      <c r="B49" s="1">
        <v>118775.9782615032</v>
      </c>
      <c r="C49" s="6">
        <v>494.89990942292985</v>
      </c>
      <c r="D49" s="6">
        <v>5166.4701837803505</v>
      </c>
      <c r="E49" s="3">
        <v>186390.49192227714</v>
      </c>
      <c r="F49" s="3">
        <v>113609.50807772286</v>
      </c>
    </row>
    <row r="50" spans="1:6" x14ac:dyDescent="0.25">
      <c r="A50">
        <v>40</v>
      </c>
      <c r="B50" s="1">
        <v>113609.50807772286</v>
      </c>
      <c r="C50" s="6">
        <v>473.37295032384509</v>
      </c>
      <c r="D50" s="6">
        <v>5187.9971428794361</v>
      </c>
      <c r="E50" s="3">
        <v>191578.48906515658</v>
      </c>
      <c r="F50" s="3">
        <v>108421.51093484342</v>
      </c>
    </row>
    <row r="51" spans="1:6" x14ac:dyDescent="0.25">
      <c r="A51">
        <v>41</v>
      </c>
      <c r="B51" s="1">
        <v>108421.51093484338</v>
      </c>
      <c r="C51" s="6">
        <v>451.75629556184737</v>
      </c>
      <c r="D51" s="6">
        <v>5209.6137976414329</v>
      </c>
      <c r="E51" s="3">
        <v>196788.10286279806</v>
      </c>
      <c r="F51" s="3">
        <v>103211.89713720194</v>
      </c>
    </row>
    <row r="52" spans="1:6" x14ac:dyDescent="0.25">
      <c r="A52">
        <v>42</v>
      </c>
      <c r="B52" s="1">
        <v>103211.897137202</v>
      </c>
      <c r="C52" s="6">
        <v>430.04957140500824</v>
      </c>
      <c r="D52" s="6">
        <v>5231.3205217982731</v>
      </c>
      <c r="E52" s="3">
        <v>202019.42338459627</v>
      </c>
      <c r="F52" s="3">
        <v>97980.576615403726</v>
      </c>
    </row>
    <row r="53" spans="1:6" x14ac:dyDescent="0.25">
      <c r="A53">
        <v>43</v>
      </c>
      <c r="B53" s="1">
        <v>97980.576615403697</v>
      </c>
      <c r="C53" s="6">
        <v>408.25240256418203</v>
      </c>
      <c r="D53" s="6">
        <v>5253.1176906390992</v>
      </c>
      <c r="E53" s="3">
        <v>207272.54107523541</v>
      </c>
      <c r="F53" s="3">
        <v>92727.458924764593</v>
      </c>
    </row>
    <row r="54" spans="1:6" x14ac:dyDescent="0.25">
      <c r="A54">
        <v>44</v>
      </c>
      <c r="B54" s="1">
        <v>92727.458924764607</v>
      </c>
      <c r="C54" s="6">
        <v>386.36441218651913</v>
      </c>
      <c r="D54" s="6">
        <v>5275.0056810167616</v>
      </c>
      <c r="E54" s="3">
        <v>212547.54675625215</v>
      </c>
      <c r="F54" s="3">
        <v>87452.453243747848</v>
      </c>
    </row>
    <row r="55" spans="1:6" x14ac:dyDescent="0.25">
      <c r="A55">
        <v>45</v>
      </c>
      <c r="B55" s="1">
        <v>87452.453243747907</v>
      </c>
      <c r="C55" s="6">
        <v>364.3852218489493</v>
      </c>
      <c r="D55" s="6">
        <v>5296.9848713543315</v>
      </c>
      <c r="E55" s="3">
        <v>217844.53162760643</v>
      </c>
      <c r="F55" s="3">
        <v>82155.468372393574</v>
      </c>
    </row>
    <row r="56" spans="1:6" x14ac:dyDescent="0.25">
      <c r="A56">
        <v>46</v>
      </c>
      <c r="B56" s="1">
        <v>82155.468372393516</v>
      </c>
      <c r="C56" s="6">
        <v>342.31445155163959</v>
      </c>
      <c r="D56" s="6">
        <v>5319.0556416516411</v>
      </c>
      <c r="E56" s="3">
        <v>223163.58726925813</v>
      </c>
      <c r="F56" s="3">
        <v>76836.412730741868</v>
      </c>
    </row>
    <row r="57" spans="1:6" x14ac:dyDescent="0.25">
      <c r="A57">
        <v>47</v>
      </c>
      <c r="B57" s="1">
        <v>76836.412730741853</v>
      </c>
      <c r="C57" s="6">
        <v>320.15171971142445</v>
      </c>
      <c r="D57" s="6">
        <v>5341.2183734918563</v>
      </c>
      <c r="E57" s="3">
        <v>228504.80564275</v>
      </c>
      <c r="F57" s="3">
        <v>71495.194357250002</v>
      </c>
    </row>
    <row r="58" spans="1:6" x14ac:dyDescent="0.25">
      <c r="A58">
        <v>48</v>
      </c>
      <c r="B58" s="1">
        <v>71495.194357250031</v>
      </c>
      <c r="C58" s="6">
        <v>297.89664315520832</v>
      </c>
      <c r="D58" s="6">
        <v>5363.4734500480727</v>
      </c>
      <c r="E58" s="3">
        <v>233868.27909279804</v>
      </c>
      <c r="F58" s="3">
        <v>66131.720907201961</v>
      </c>
    </row>
    <row r="59" spans="1:6" x14ac:dyDescent="0.25">
      <c r="A59">
        <v>49</v>
      </c>
      <c r="B59" s="1">
        <v>66131.720907201976</v>
      </c>
      <c r="C59" s="6">
        <v>275.54883711334139</v>
      </c>
      <c r="D59" s="6">
        <v>5385.8212560899392</v>
      </c>
      <c r="E59" s="3">
        <v>239254.10034888797</v>
      </c>
      <c r="F59" s="3">
        <v>60745.899651112035</v>
      </c>
    </row>
    <row r="60" spans="1:6" x14ac:dyDescent="0.25">
      <c r="A60">
        <v>50</v>
      </c>
      <c r="B60" s="1">
        <v>60745.899651111977</v>
      </c>
      <c r="C60" s="6">
        <v>253.10791521296665</v>
      </c>
      <c r="D60" s="6">
        <v>5408.2621779903138</v>
      </c>
      <c r="E60" s="3">
        <v>244662.36252687834</v>
      </c>
      <c r="F60" s="3">
        <v>55337.637473121664</v>
      </c>
    </row>
    <row r="61" spans="1:6" x14ac:dyDescent="0.25">
      <c r="A61">
        <v>51</v>
      </c>
      <c r="B61" s="1">
        <v>55337.637473121737</v>
      </c>
      <c r="C61" s="6">
        <v>230.57348947134031</v>
      </c>
      <c r="D61" s="6">
        <v>5430.7966037319402</v>
      </c>
      <c r="E61" s="3">
        <v>250093.15913061021</v>
      </c>
      <c r="F61" s="3">
        <v>49906.840869389795</v>
      </c>
    </row>
    <row r="62" spans="1:6" x14ac:dyDescent="0.25">
      <c r="A62">
        <v>52</v>
      </c>
      <c r="B62" s="1">
        <v>49906.840869389795</v>
      </c>
      <c r="C62" s="6">
        <v>207.94517028912392</v>
      </c>
      <c r="D62" s="6">
        <v>5453.4249229141569</v>
      </c>
      <c r="E62" s="3">
        <v>255546.58405352436</v>
      </c>
      <c r="F62" s="3">
        <v>44453.415946475638</v>
      </c>
    </row>
    <row r="63" spans="1:6" x14ac:dyDescent="0.25">
      <c r="A63">
        <v>53</v>
      </c>
      <c r="B63" s="1">
        <v>44453.415946475587</v>
      </c>
      <c r="C63" s="6">
        <v>185.22256644364828</v>
      </c>
      <c r="D63" s="6">
        <v>5476.1475267596315</v>
      </c>
      <c r="E63" s="3">
        <v>261022.73158028405</v>
      </c>
      <c r="F63" s="3">
        <v>38977.268419715954</v>
      </c>
    </row>
    <row r="64" spans="1:6" x14ac:dyDescent="0.25">
      <c r="A64">
        <v>54</v>
      </c>
      <c r="B64" s="1">
        <v>38977.268419715969</v>
      </c>
      <c r="C64" s="6">
        <v>162.40528508214985</v>
      </c>
      <c r="D64" s="6">
        <v>5498.9648081211317</v>
      </c>
      <c r="E64" s="3">
        <v>266521.69638840517</v>
      </c>
      <c r="F64" s="3">
        <v>33478.303611594834</v>
      </c>
    </row>
    <row r="65" spans="1:6" x14ac:dyDescent="0.25">
      <c r="A65">
        <v>55</v>
      </c>
      <c r="B65" s="1">
        <v>33478.303611594849</v>
      </c>
      <c r="C65" s="6">
        <v>139.49293171497845</v>
      </c>
      <c r="D65" s="6">
        <v>5521.8771614883026</v>
      </c>
      <c r="E65" s="3">
        <v>272043.57354989345</v>
      </c>
      <c r="F65" s="3">
        <v>27956.426450106548</v>
      </c>
    </row>
    <row r="66" spans="1:6" x14ac:dyDescent="0.25">
      <c r="A66">
        <v>56</v>
      </c>
      <c r="B66" s="1">
        <v>27956.426450106526</v>
      </c>
      <c r="C66" s="6">
        <v>116.48511020877717</v>
      </c>
      <c r="D66" s="6">
        <v>5544.8849829945029</v>
      </c>
      <c r="E66" s="3">
        <v>277588.45853288798</v>
      </c>
      <c r="F66" s="3">
        <v>22411.541467112023</v>
      </c>
    </row>
    <row r="67" spans="1:6" x14ac:dyDescent="0.25">
      <c r="A67">
        <v>57</v>
      </c>
      <c r="B67" s="1">
        <v>22411.541467112045</v>
      </c>
      <c r="C67" s="6">
        <v>93.381422779633425</v>
      </c>
      <c r="D67" s="6">
        <v>5567.9886704236469</v>
      </c>
      <c r="E67" s="3">
        <v>283156.4472033116</v>
      </c>
      <c r="F67" s="3">
        <v>16843.552796688396</v>
      </c>
    </row>
    <row r="68" spans="1:6" x14ac:dyDescent="0.25">
      <c r="A68">
        <v>58</v>
      </c>
      <c r="B68" s="1">
        <v>16843.552796688367</v>
      </c>
      <c r="C68" s="6">
        <v>70.181469986201577</v>
      </c>
      <c r="D68" s="6">
        <v>5591.1886232170791</v>
      </c>
      <c r="E68" s="3">
        <v>288747.63582652871</v>
      </c>
      <c r="F68" s="3">
        <v>11252.364173471287</v>
      </c>
    </row>
    <row r="69" spans="1:6" x14ac:dyDescent="0.25">
      <c r="A69">
        <v>59</v>
      </c>
      <c r="B69" s="1">
        <v>11252.364173471302</v>
      </c>
      <c r="C69" s="6">
        <v>46.884850722797083</v>
      </c>
      <c r="D69" s="6">
        <v>5614.485242480484</v>
      </c>
      <c r="E69" s="3">
        <v>294362.12106900918</v>
      </c>
      <c r="F69" s="3">
        <v>5637.878930990817</v>
      </c>
    </row>
    <row r="70" spans="1:6" x14ac:dyDescent="0.25">
      <c r="A70">
        <v>60</v>
      </c>
      <c r="B70" s="1">
        <v>5637.8789309908188</v>
      </c>
      <c r="C70" s="6">
        <v>23.491162212461742</v>
      </c>
      <c r="D70" s="6">
        <v>5637.8789309908188</v>
      </c>
      <c r="E70" s="3">
        <v>300000</v>
      </c>
      <c r="F70" s="3">
        <v>0</v>
      </c>
    </row>
    <row r="71" spans="1:6" x14ac:dyDescent="0.25">
      <c r="B71" s="1"/>
      <c r="C71" s="6"/>
      <c r="D71" s="6"/>
      <c r="E71" s="3"/>
      <c r="F71" s="3"/>
    </row>
    <row r="72" spans="1:6" x14ac:dyDescent="0.25">
      <c r="B72" s="1"/>
      <c r="C72" s="6"/>
      <c r="D72" s="6"/>
      <c r="E72" s="3"/>
      <c r="F72" s="3"/>
    </row>
    <row r="73" spans="1:6" x14ac:dyDescent="0.25">
      <c r="B73" s="1"/>
      <c r="C73" s="6"/>
      <c r="D73" s="6"/>
      <c r="E73" s="3"/>
      <c r="F73" s="3"/>
    </row>
    <row r="74" spans="1:6" x14ac:dyDescent="0.25">
      <c r="B74" s="1"/>
      <c r="C74" s="6"/>
      <c r="D74" s="6"/>
      <c r="E74" s="3"/>
      <c r="F74" s="3"/>
    </row>
    <row r="75" spans="1:6" x14ac:dyDescent="0.25">
      <c r="B75" s="1"/>
      <c r="C75" s="6"/>
      <c r="D75" s="6"/>
      <c r="E75" s="3"/>
      <c r="F75" s="3"/>
    </row>
    <row r="76" spans="1:6" x14ac:dyDescent="0.25">
      <c r="B76" s="1"/>
      <c r="C76" s="6"/>
      <c r="D76" s="6"/>
      <c r="E76" s="3"/>
      <c r="F76" s="3"/>
    </row>
    <row r="77" spans="1:6" x14ac:dyDescent="0.25">
      <c r="B77" s="1"/>
      <c r="C77" s="6"/>
      <c r="D77" s="6"/>
      <c r="E77" s="3"/>
      <c r="F77" s="3"/>
    </row>
    <row r="78" spans="1:6" x14ac:dyDescent="0.25">
      <c r="B78" s="1"/>
      <c r="C78" s="6"/>
      <c r="D78" s="6"/>
      <c r="E78" s="3"/>
      <c r="F78" s="3"/>
    </row>
    <row r="79" spans="1:6" x14ac:dyDescent="0.25">
      <c r="B79" s="1"/>
      <c r="C79" s="6"/>
      <c r="D79" s="6"/>
      <c r="E79" s="3"/>
      <c r="F79" s="3"/>
    </row>
    <row r="80" spans="1:6" x14ac:dyDescent="0.25">
      <c r="B80" s="1"/>
      <c r="C80" s="6"/>
      <c r="D80" s="6"/>
      <c r="E80" s="3"/>
      <c r="F80" s="3"/>
    </row>
    <row r="81" spans="2:6" x14ac:dyDescent="0.25">
      <c r="B81" s="1"/>
      <c r="C81" s="6"/>
      <c r="D81" s="6"/>
      <c r="E81" s="3"/>
      <c r="F81" s="3"/>
    </row>
    <row r="82" spans="2:6" x14ac:dyDescent="0.25">
      <c r="B82" s="1"/>
      <c r="C82" s="6"/>
      <c r="D82" s="6"/>
      <c r="E82" s="3"/>
      <c r="F82" s="3"/>
    </row>
    <row r="83" spans="2:6" x14ac:dyDescent="0.25">
      <c r="B83" s="1"/>
      <c r="C83" s="6"/>
      <c r="D83" s="6"/>
      <c r="E83" s="3"/>
      <c r="F83" s="3"/>
    </row>
    <row r="84" spans="2:6" x14ac:dyDescent="0.25">
      <c r="B84" s="1"/>
      <c r="C84" s="6"/>
      <c r="D84" s="6"/>
      <c r="E84" s="3"/>
      <c r="F84" s="3"/>
    </row>
    <row r="85" spans="2:6" x14ac:dyDescent="0.25">
      <c r="B85" s="1"/>
      <c r="C85" s="6"/>
      <c r="D85" s="6"/>
      <c r="E85" s="3"/>
      <c r="F85" s="3"/>
    </row>
    <row r="86" spans="2:6" x14ac:dyDescent="0.25">
      <c r="B86" s="1"/>
      <c r="C86" s="6"/>
      <c r="D86" s="6"/>
      <c r="E86" s="3"/>
      <c r="F86" s="3"/>
    </row>
    <row r="87" spans="2:6" x14ac:dyDescent="0.25">
      <c r="B87" s="1"/>
      <c r="C87" s="6"/>
      <c r="D87" s="6"/>
      <c r="E87" s="3"/>
      <c r="F87" s="3"/>
    </row>
    <row r="88" spans="2:6" x14ac:dyDescent="0.25">
      <c r="B88" s="1"/>
      <c r="C88" s="6"/>
      <c r="D88" s="6"/>
      <c r="E88" s="3"/>
      <c r="F88" s="3"/>
    </row>
    <row r="89" spans="2:6" x14ac:dyDescent="0.25">
      <c r="B89" s="1"/>
      <c r="C89" s="6"/>
      <c r="D89" s="6"/>
      <c r="E89" s="3"/>
      <c r="F89" s="3"/>
    </row>
    <row r="90" spans="2:6" x14ac:dyDescent="0.25">
      <c r="B90" s="1"/>
      <c r="C90" s="6"/>
      <c r="D90" s="6"/>
      <c r="E90" s="3"/>
      <c r="F90" s="3"/>
    </row>
    <row r="91" spans="2:6" x14ac:dyDescent="0.25">
      <c r="B91" s="1"/>
      <c r="C91" s="6"/>
      <c r="D91" s="6"/>
      <c r="E91" s="3"/>
      <c r="F91" s="3"/>
    </row>
    <row r="92" spans="2:6" x14ac:dyDescent="0.25">
      <c r="B92" s="1"/>
      <c r="C92" s="6"/>
      <c r="D92" s="6"/>
      <c r="E92" s="3"/>
      <c r="F92" s="3"/>
    </row>
    <row r="93" spans="2:6" x14ac:dyDescent="0.25">
      <c r="B93" s="1"/>
      <c r="C93" s="6"/>
      <c r="D93" s="6"/>
      <c r="E93" s="3"/>
      <c r="F93" s="3"/>
    </row>
    <row r="94" spans="2:6" x14ac:dyDescent="0.25">
      <c r="B94" s="1"/>
      <c r="C94" s="6"/>
      <c r="D94" s="6"/>
      <c r="E94" s="3"/>
      <c r="F94" s="3"/>
    </row>
    <row r="95" spans="2:6" x14ac:dyDescent="0.25">
      <c r="B95" s="1"/>
      <c r="C95" s="6"/>
      <c r="D95" s="6"/>
      <c r="E95" s="3"/>
      <c r="F95" s="3"/>
    </row>
    <row r="96" spans="2:6" x14ac:dyDescent="0.25">
      <c r="B96" s="1"/>
      <c r="C96" s="6"/>
      <c r="D96" s="6"/>
      <c r="E96" s="3"/>
      <c r="F96" s="3"/>
    </row>
    <row r="97" spans="2:6" x14ac:dyDescent="0.25">
      <c r="B97" s="1"/>
      <c r="C97" s="6"/>
      <c r="D97" s="6"/>
      <c r="E97" s="3"/>
      <c r="F97" s="3"/>
    </row>
    <row r="98" spans="2:6" x14ac:dyDescent="0.25">
      <c r="B98" s="1"/>
      <c r="C98" s="6"/>
      <c r="D98" s="6"/>
      <c r="E98" s="3"/>
      <c r="F98" s="3"/>
    </row>
    <row r="99" spans="2:6" x14ac:dyDescent="0.25">
      <c r="B99" s="1"/>
      <c r="C99" s="6"/>
      <c r="D99" s="6"/>
      <c r="E99" s="3"/>
      <c r="F99" s="3"/>
    </row>
    <row r="100" spans="2:6" x14ac:dyDescent="0.25">
      <c r="B100" s="1"/>
      <c r="C100" s="6"/>
      <c r="D100" s="6"/>
      <c r="E100" s="3"/>
      <c r="F100" s="3"/>
    </row>
    <row r="101" spans="2:6" x14ac:dyDescent="0.25">
      <c r="B101" s="1"/>
      <c r="C101" s="6"/>
      <c r="D101" s="6"/>
      <c r="E101" s="3"/>
      <c r="F101" s="3"/>
    </row>
    <row r="102" spans="2:6" x14ac:dyDescent="0.25">
      <c r="B102" s="1"/>
      <c r="C102" s="6"/>
      <c r="D102" s="6"/>
      <c r="E102" s="3"/>
      <c r="F102" s="3"/>
    </row>
    <row r="103" spans="2:6" x14ac:dyDescent="0.25">
      <c r="B103" s="1"/>
      <c r="C103" s="6"/>
      <c r="D103" s="6"/>
      <c r="E103" s="3"/>
      <c r="F103" s="3"/>
    </row>
    <row r="104" spans="2:6" x14ac:dyDescent="0.25">
      <c r="B104" s="1"/>
      <c r="C104" s="6"/>
      <c r="D104" s="6"/>
      <c r="E104" s="3"/>
      <c r="F104" s="3"/>
    </row>
    <row r="105" spans="2:6" x14ac:dyDescent="0.25">
      <c r="B105" s="1"/>
      <c r="C105" s="6"/>
      <c r="D105" s="6"/>
      <c r="E105" s="3"/>
      <c r="F105" s="3"/>
    </row>
    <row r="106" spans="2:6" x14ac:dyDescent="0.25">
      <c r="B106" s="1"/>
      <c r="C106" s="6"/>
      <c r="D106" s="6"/>
      <c r="E106" s="3"/>
      <c r="F106" s="3"/>
    </row>
    <row r="107" spans="2:6" x14ac:dyDescent="0.25">
      <c r="B107" s="1"/>
      <c r="C107" s="6"/>
      <c r="D107" s="6"/>
      <c r="E107" s="3"/>
      <c r="F107" s="3"/>
    </row>
    <row r="108" spans="2:6" x14ac:dyDescent="0.25">
      <c r="B108" s="1"/>
      <c r="C108" s="6"/>
      <c r="D108" s="6"/>
      <c r="E108" s="3"/>
      <c r="F108" s="3"/>
    </row>
    <row r="109" spans="2:6" x14ac:dyDescent="0.25">
      <c r="B109" s="1"/>
      <c r="C109" s="6"/>
      <c r="D109" s="6"/>
      <c r="E109" s="3"/>
      <c r="F109" s="3"/>
    </row>
    <row r="110" spans="2:6" x14ac:dyDescent="0.25">
      <c r="B110" s="1"/>
      <c r="C110" s="6"/>
      <c r="D110" s="6"/>
      <c r="E110" s="3"/>
      <c r="F110" s="3"/>
    </row>
    <row r="111" spans="2:6" x14ac:dyDescent="0.25">
      <c r="B111" s="1"/>
      <c r="C111" s="6"/>
      <c r="D111" s="6"/>
      <c r="E111" s="3"/>
      <c r="F111" s="3"/>
    </row>
    <row r="112" spans="2:6" x14ac:dyDescent="0.25">
      <c r="B112" s="1"/>
      <c r="C112" s="6"/>
      <c r="D112" s="6"/>
      <c r="E112" s="3"/>
      <c r="F112" s="3"/>
    </row>
    <row r="113" spans="2:6" x14ac:dyDescent="0.25">
      <c r="B113" s="1"/>
      <c r="C113" s="6"/>
      <c r="D113" s="6"/>
      <c r="E113" s="3"/>
      <c r="F113" s="3"/>
    </row>
    <row r="114" spans="2:6" x14ac:dyDescent="0.25">
      <c r="B114" s="1"/>
      <c r="C114" s="6"/>
      <c r="D114" s="6"/>
      <c r="E114" s="3"/>
      <c r="F114" s="3"/>
    </row>
    <row r="115" spans="2:6" x14ac:dyDescent="0.25">
      <c r="B115" s="1"/>
      <c r="C115" s="6"/>
      <c r="D115" s="6"/>
      <c r="E115" s="3"/>
      <c r="F115" s="3"/>
    </row>
    <row r="116" spans="2:6" x14ac:dyDescent="0.25">
      <c r="B116" s="1"/>
      <c r="C116" s="6"/>
      <c r="D116" s="6"/>
      <c r="E116" s="3"/>
      <c r="F116" s="3"/>
    </row>
    <row r="117" spans="2:6" x14ac:dyDescent="0.25">
      <c r="B117" s="1"/>
      <c r="C117" s="6"/>
      <c r="D117" s="6"/>
      <c r="E117" s="3"/>
      <c r="F117" s="3"/>
    </row>
    <row r="118" spans="2:6" x14ac:dyDescent="0.25">
      <c r="B118" s="1"/>
      <c r="C118" s="6"/>
      <c r="D118" s="6"/>
      <c r="E118" s="3"/>
      <c r="F118" s="3"/>
    </row>
    <row r="119" spans="2:6" x14ac:dyDescent="0.25">
      <c r="B119" s="1"/>
      <c r="C119" s="6"/>
      <c r="D119" s="6"/>
      <c r="E119" s="3"/>
      <c r="F119" s="3"/>
    </row>
    <row r="120" spans="2:6" x14ac:dyDescent="0.25">
      <c r="B120" s="1"/>
      <c r="C120" s="6"/>
      <c r="D120" s="6"/>
      <c r="E120" s="3"/>
      <c r="F120" s="3"/>
    </row>
    <row r="121" spans="2:6" x14ac:dyDescent="0.25">
      <c r="B121" s="1"/>
      <c r="C121" s="6"/>
      <c r="D121" s="6"/>
      <c r="E121" s="3"/>
      <c r="F121" s="3"/>
    </row>
    <row r="122" spans="2:6" x14ac:dyDescent="0.25">
      <c r="B122" s="1"/>
      <c r="C122" s="6"/>
      <c r="D122" s="6"/>
      <c r="E122" s="3"/>
      <c r="F122" s="3"/>
    </row>
    <row r="123" spans="2:6" x14ac:dyDescent="0.25">
      <c r="B123" s="1"/>
      <c r="C123" s="6"/>
      <c r="D123" s="6"/>
      <c r="E123" s="3"/>
      <c r="F123" s="3"/>
    </row>
    <row r="124" spans="2:6" x14ac:dyDescent="0.25">
      <c r="B124" s="1"/>
      <c r="C124" s="6"/>
      <c r="D124" s="6"/>
      <c r="E124" s="3"/>
      <c r="F124" s="3"/>
    </row>
    <row r="125" spans="2:6" x14ac:dyDescent="0.25">
      <c r="B125" s="1"/>
      <c r="C125" s="6"/>
      <c r="D125" s="6"/>
      <c r="E125" s="3"/>
      <c r="F125" s="3"/>
    </row>
    <row r="126" spans="2:6" x14ac:dyDescent="0.25">
      <c r="B126" s="1"/>
      <c r="C126" s="6"/>
      <c r="D126" s="6"/>
      <c r="E126" s="3"/>
      <c r="F126" s="3"/>
    </row>
    <row r="127" spans="2:6" x14ac:dyDescent="0.25">
      <c r="B127" s="1"/>
      <c r="C127" s="6"/>
      <c r="D127" s="6"/>
      <c r="E127" s="3"/>
      <c r="F127" s="3"/>
    </row>
    <row r="128" spans="2:6" x14ac:dyDescent="0.25">
      <c r="B128" s="1"/>
      <c r="C128" s="6"/>
      <c r="D128" s="6"/>
      <c r="E128" s="3"/>
      <c r="F128" s="3"/>
    </row>
    <row r="129" spans="2:6" x14ac:dyDescent="0.25">
      <c r="B129" s="1"/>
      <c r="C129" s="6"/>
      <c r="D129" s="6"/>
      <c r="E129" s="3"/>
      <c r="F129" s="3"/>
    </row>
    <row r="130" spans="2:6" x14ac:dyDescent="0.25">
      <c r="B130" s="1"/>
      <c r="C130" s="6"/>
      <c r="D130" s="6"/>
      <c r="E130" s="3"/>
      <c r="F130" s="3"/>
    </row>
    <row r="131" spans="2:6" x14ac:dyDescent="0.25">
      <c r="B131" s="1"/>
      <c r="C131" s="6"/>
      <c r="D131" s="6"/>
      <c r="E131" s="3"/>
      <c r="F131" s="3"/>
    </row>
    <row r="132" spans="2:6" x14ac:dyDescent="0.25">
      <c r="B132" s="1"/>
      <c r="C132" s="6"/>
      <c r="D132" s="6"/>
      <c r="E132" s="3"/>
      <c r="F132" s="3"/>
    </row>
    <row r="133" spans="2:6" x14ac:dyDescent="0.25">
      <c r="B133" s="1"/>
      <c r="C133" s="6"/>
      <c r="D133" s="6"/>
      <c r="E133" s="3"/>
      <c r="F133" s="3"/>
    </row>
    <row r="134" spans="2:6" x14ac:dyDescent="0.25">
      <c r="B134" s="1"/>
      <c r="C134" s="6"/>
      <c r="D134" s="6"/>
      <c r="E134" s="3"/>
      <c r="F134" s="3"/>
    </row>
    <row r="135" spans="2:6" x14ac:dyDescent="0.25">
      <c r="B135" s="1"/>
      <c r="C135" s="6"/>
      <c r="D135" s="6"/>
      <c r="E135" s="3"/>
      <c r="F135" s="3"/>
    </row>
    <row r="136" spans="2:6" x14ac:dyDescent="0.25">
      <c r="B136" s="1"/>
      <c r="C136" s="6"/>
      <c r="D136" s="6"/>
      <c r="E136" s="3"/>
      <c r="F136" s="3"/>
    </row>
    <row r="137" spans="2:6" x14ac:dyDescent="0.25">
      <c r="B137" s="1"/>
      <c r="C137" s="6"/>
      <c r="D137" s="6"/>
      <c r="E137" s="3"/>
      <c r="F137" s="3"/>
    </row>
    <row r="138" spans="2:6" x14ac:dyDescent="0.25">
      <c r="B138" s="1"/>
      <c r="C138" s="6"/>
      <c r="D138" s="6"/>
      <c r="E138" s="3"/>
      <c r="F138" s="3"/>
    </row>
    <row r="139" spans="2:6" x14ac:dyDescent="0.25">
      <c r="B139" s="1"/>
      <c r="C139" s="6"/>
      <c r="D139" s="6"/>
      <c r="E139" s="3"/>
      <c r="F139" s="3"/>
    </row>
    <row r="140" spans="2:6" x14ac:dyDescent="0.25">
      <c r="B140" s="1"/>
      <c r="C140" s="6"/>
      <c r="D140" s="6"/>
      <c r="E140" s="3"/>
      <c r="F140" s="3"/>
    </row>
    <row r="141" spans="2:6" x14ac:dyDescent="0.25">
      <c r="B141" s="1"/>
      <c r="C141" s="6"/>
      <c r="D141" s="6"/>
      <c r="E141" s="3"/>
      <c r="F141" s="3"/>
    </row>
    <row r="142" spans="2:6" x14ac:dyDescent="0.25">
      <c r="B142" s="1"/>
      <c r="C142" s="6"/>
      <c r="D142" s="6"/>
      <c r="E142" s="3"/>
      <c r="F142" s="3"/>
    </row>
    <row r="143" spans="2:6" x14ac:dyDescent="0.25">
      <c r="B143" s="1"/>
      <c r="C143" s="6"/>
      <c r="D143" s="6"/>
      <c r="E143" s="3"/>
      <c r="F143" s="3"/>
    </row>
    <row r="144" spans="2:6" x14ac:dyDescent="0.25">
      <c r="B144" s="1"/>
      <c r="C144" s="6"/>
      <c r="D144" s="6"/>
      <c r="E144" s="3"/>
      <c r="F144" s="3"/>
    </row>
    <row r="145" spans="2:6" x14ac:dyDescent="0.25">
      <c r="B145" s="1"/>
      <c r="C145" s="6"/>
      <c r="D145" s="6"/>
      <c r="E145" s="3"/>
      <c r="F145" s="3"/>
    </row>
    <row r="146" spans="2:6" x14ac:dyDescent="0.25">
      <c r="B146" s="1"/>
      <c r="C146" s="6"/>
      <c r="D146" s="6"/>
      <c r="E146" s="3"/>
      <c r="F146" s="3"/>
    </row>
    <row r="147" spans="2:6" x14ac:dyDescent="0.25">
      <c r="B147" s="1"/>
      <c r="C147" s="6"/>
      <c r="D147" s="6"/>
      <c r="E147" s="3"/>
      <c r="F147" s="3"/>
    </row>
    <row r="148" spans="2:6" x14ac:dyDescent="0.25">
      <c r="B148" s="1"/>
      <c r="C148" s="6"/>
      <c r="D148" s="6"/>
      <c r="E148" s="3"/>
      <c r="F148" s="3"/>
    </row>
    <row r="149" spans="2:6" x14ac:dyDescent="0.25">
      <c r="B149" s="1"/>
      <c r="C149" s="6"/>
      <c r="D149" s="6"/>
      <c r="E149" s="3"/>
      <c r="F149" s="3"/>
    </row>
    <row r="150" spans="2:6" x14ac:dyDescent="0.25">
      <c r="B150" s="1"/>
      <c r="C150" s="6"/>
      <c r="D150" s="6"/>
      <c r="E150" s="3"/>
      <c r="F150" s="3"/>
    </row>
    <row r="151" spans="2:6" x14ac:dyDescent="0.25">
      <c r="B151" s="1"/>
      <c r="C151" s="6"/>
      <c r="D151" s="6"/>
      <c r="E151" s="3"/>
      <c r="F151" s="3"/>
    </row>
    <row r="152" spans="2:6" x14ac:dyDescent="0.25">
      <c r="B152" s="1"/>
      <c r="C152" s="6"/>
      <c r="D152" s="6"/>
      <c r="E152" s="3"/>
      <c r="F152" s="3"/>
    </row>
    <row r="153" spans="2:6" x14ac:dyDescent="0.25">
      <c r="B153" s="1"/>
      <c r="C153" s="6"/>
      <c r="D153" s="6"/>
      <c r="E153" s="3"/>
      <c r="F153" s="3"/>
    </row>
    <row r="154" spans="2:6" x14ac:dyDescent="0.25">
      <c r="B154" s="1"/>
      <c r="C154" s="6"/>
      <c r="D154" s="6"/>
      <c r="E154" s="3"/>
      <c r="F154" s="3"/>
    </row>
    <row r="155" spans="2:6" x14ac:dyDescent="0.25">
      <c r="B155" s="1"/>
      <c r="C155" s="6"/>
      <c r="D155" s="6"/>
      <c r="E155" s="3"/>
      <c r="F155" s="3"/>
    </row>
    <row r="156" spans="2:6" x14ac:dyDescent="0.25">
      <c r="B156" s="1"/>
      <c r="C156" s="6"/>
      <c r="D156" s="6"/>
      <c r="E156" s="3"/>
      <c r="F156" s="3"/>
    </row>
    <row r="157" spans="2:6" x14ac:dyDescent="0.25">
      <c r="B157" s="1"/>
      <c r="C157" s="6"/>
      <c r="D157" s="6"/>
      <c r="E157" s="3"/>
      <c r="F157" s="3"/>
    </row>
    <row r="158" spans="2:6" x14ac:dyDescent="0.25">
      <c r="B158" s="1"/>
      <c r="C158" s="6"/>
      <c r="D158" s="6"/>
      <c r="E158" s="3"/>
      <c r="F158" s="3"/>
    </row>
    <row r="159" spans="2:6" x14ac:dyDescent="0.25">
      <c r="B159" s="1"/>
      <c r="C159" s="6"/>
      <c r="D159" s="6"/>
      <c r="E159" s="3"/>
      <c r="F159" s="3"/>
    </row>
    <row r="160" spans="2:6" x14ac:dyDescent="0.25">
      <c r="B160" s="1"/>
      <c r="C160" s="6"/>
      <c r="D160" s="6"/>
      <c r="E160" s="3"/>
      <c r="F160" s="3"/>
    </row>
    <row r="161" spans="2:6" x14ac:dyDescent="0.25">
      <c r="B161" s="1"/>
      <c r="C161" s="6"/>
      <c r="D161" s="6"/>
      <c r="E161" s="3"/>
      <c r="F161" s="3"/>
    </row>
    <row r="162" spans="2:6" x14ac:dyDescent="0.25">
      <c r="B162" s="1"/>
      <c r="C162" s="6"/>
      <c r="D162" s="6"/>
      <c r="E162" s="3"/>
      <c r="F162" s="3"/>
    </row>
    <row r="163" spans="2:6" x14ac:dyDescent="0.25">
      <c r="B163" s="1"/>
      <c r="C163" s="6"/>
      <c r="D163" s="6"/>
      <c r="E163" s="3"/>
      <c r="F163" s="3"/>
    </row>
    <row r="164" spans="2:6" x14ac:dyDescent="0.25">
      <c r="B164" s="1"/>
      <c r="C164" s="6"/>
      <c r="D164" s="6"/>
      <c r="E164" s="3"/>
      <c r="F164" s="3"/>
    </row>
    <row r="165" spans="2:6" x14ac:dyDescent="0.25">
      <c r="B165" s="1"/>
      <c r="C165" s="6"/>
      <c r="D165" s="6"/>
      <c r="E165" s="3"/>
      <c r="F165" s="3"/>
    </row>
    <row r="166" spans="2:6" x14ac:dyDescent="0.25">
      <c r="B166" s="1"/>
      <c r="C166" s="6"/>
      <c r="D166" s="6"/>
      <c r="E166" s="3"/>
      <c r="F166" s="3"/>
    </row>
    <row r="167" spans="2:6" x14ac:dyDescent="0.25">
      <c r="B167" s="1"/>
      <c r="C167" s="6"/>
      <c r="D167" s="6"/>
      <c r="E167" s="3"/>
      <c r="F167" s="3"/>
    </row>
    <row r="168" spans="2:6" x14ac:dyDescent="0.25">
      <c r="B168" s="1"/>
      <c r="C168" s="6"/>
      <c r="D168" s="6"/>
      <c r="E168" s="3"/>
      <c r="F168" s="3"/>
    </row>
    <row r="169" spans="2:6" x14ac:dyDescent="0.25">
      <c r="B169" s="1"/>
      <c r="C169" s="6"/>
      <c r="D169" s="6"/>
      <c r="E169" s="3"/>
      <c r="F169" s="3"/>
    </row>
    <row r="170" spans="2:6" x14ac:dyDescent="0.25">
      <c r="B170" s="1"/>
      <c r="C170" s="6"/>
      <c r="D170" s="6"/>
      <c r="E170" s="3"/>
      <c r="F170" s="3"/>
    </row>
    <row r="171" spans="2:6" x14ac:dyDescent="0.25">
      <c r="B171" s="1"/>
      <c r="C171" s="6"/>
      <c r="D171" s="6"/>
      <c r="E171" s="3"/>
      <c r="F171" s="3"/>
    </row>
    <row r="172" spans="2:6" x14ac:dyDescent="0.25">
      <c r="B172" s="1"/>
      <c r="C172" s="6"/>
      <c r="D172" s="6"/>
      <c r="E172" s="3"/>
      <c r="F172" s="3"/>
    </row>
    <row r="173" spans="2:6" x14ac:dyDescent="0.25">
      <c r="B173" s="1"/>
      <c r="C173" s="6"/>
      <c r="D173" s="6"/>
      <c r="E173" s="3"/>
      <c r="F173" s="3"/>
    </row>
    <row r="174" spans="2:6" x14ac:dyDescent="0.25">
      <c r="B174" s="1"/>
      <c r="C174" s="6"/>
      <c r="D174" s="6"/>
      <c r="E174" s="3"/>
      <c r="F174" s="3"/>
    </row>
    <row r="175" spans="2:6" x14ac:dyDescent="0.25">
      <c r="B175" s="1"/>
      <c r="C175" s="6"/>
      <c r="D175" s="6"/>
      <c r="E175" s="3"/>
      <c r="F175" s="3"/>
    </row>
    <row r="176" spans="2:6" x14ac:dyDescent="0.25">
      <c r="B176" s="1"/>
      <c r="C176" s="6"/>
      <c r="D176" s="6"/>
      <c r="E176" s="3"/>
      <c r="F176" s="3"/>
    </row>
    <row r="177" spans="2:6" x14ac:dyDescent="0.25">
      <c r="B177" s="1"/>
      <c r="C177" s="6"/>
      <c r="D177" s="6"/>
      <c r="E177" s="3"/>
      <c r="F177" s="3"/>
    </row>
    <row r="178" spans="2:6" x14ac:dyDescent="0.25">
      <c r="B178" s="1"/>
      <c r="C178" s="6"/>
      <c r="D178" s="6"/>
      <c r="E178" s="3"/>
      <c r="F178" s="3"/>
    </row>
    <row r="179" spans="2:6" x14ac:dyDescent="0.25">
      <c r="B179" s="1"/>
      <c r="C179" s="6"/>
      <c r="D179" s="6"/>
      <c r="E179" s="3"/>
      <c r="F179" s="3"/>
    </row>
    <row r="180" spans="2:6" x14ac:dyDescent="0.25">
      <c r="B180" s="1"/>
      <c r="C180" s="6"/>
      <c r="D180" s="6"/>
      <c r="E180" s="3"/>
      <c r="F180" s="3"/>
    </row>
    <row r="181" spans="2:6" x14ac:dyDescent="0.25">
      <c r="B181" s="1"/>
      <c r="C181" s="6"/>
      <c r="D181" s="6"/>
      <c r="E181" s="3"/>
      <c r="F181" s="3"/>
    </row>
    <row r="182" spans="2:6" x14ac:dyDescent="0.25">
      <c r="B182" s="1"/>
      <c r="C182" s="6"/>
      <c r="D182" s="6"/>
      <c r="E182" s="3"/>
      <c r="F182" s="3"/>
    </row>
    <row r="183" spans="2:6" x14ac:dyDescent="0.25">
      <c r="B183" s="1"/>
      <c r="C183" s="6"/>
      <c r="D183" s="6"/>
      <c r="E183" s="3"/>
      <c r="F183" s="3"/>
    </row>
    <row r="184" spans="2:6" x14ac:dyDescent="0.25">
      <c r="B184" s="1"/>
      <c r="C184" s="6"/>
      <c r="D184" s="6"/>
      <c r="E184" s="3"/>
      <c r="F184" s="3"/>
    </row>
    <row r="185" spans="2:6" x14ac:dyDescent="0.25">
      <c r="B185" s="1"/>
      <c r="C185" s="6"/>
      <c r="D185" s="6"/>
      <c r="E185" s="3"/>
      <c r="F185" s="3"/>
    </row>
    <row r="186" spans="2:6" x14ac:dyDescent="0.25">
      <c r="B186" s="1"/>
      <c r="C186" s="6"/>
      <c r="D186" s="6"/>
      <c r="E186" s="3"/>
      <c r="F186" s="3"/>
    </row>
    <row r="187" spans="2:6" x14ac:dyDescent="0.25">
      <c r="B187" s="1"/>
      <c r="C187" s="6"/>
      <c r="D187" s="6"/>
      <c r="E187" s="3"/>
      <c r="F187" s="3"/>
    </row>
    <row r="188" spans="2:6" x14ac:dyDescent="0.25">
      <c r="B188" s="1"/>
      <c r="C188" s="6"/>
      <c r="D188" s="6"/>
      <c r="E188" s="3"/>
      <c r="F188" s="3"/>
    </row>
    <row r="189" spans="2:6" x14ac:dyDescent="0.25">
      <c r="B189" s="1"/>
      <c r="C189" s="6"/>
      <c r="D189" s="6"/>
      <c r="E189" s="3"/>
      <c r="F189" s="3"/>
    </row>
    <row r="190" spans="2:6" x14ac:dyDescent="0.25">
      <c r="B190" s="1"/>
      <c r="C190" s="6"/>
      <c r="D190" s="6"/>
      <c r="E190" s="3"/>
      <c r="F190" s="3"/>
    </row>
    <row r="191" spans="2:6" x14ac:dyDescent="0.25">
      <c r="B191" s="1"/>
      <c r="C191" s="6"/>
      <c r="D191" s="6"/>
      <c r="E191" s="3"/>
      <c r="F191" s="3"/>
    </row>
    <row r="192" spans="2:6" x14ac:dyDescent="0.25">
      <c r="B192" s="1"/>
      <c r="C192" s="6"/>
      <c r="D192" s="6"/>
      <c r="E192" s="3"/>
      <c r="F192" s="3"/>
    </row>
    <row r="193" spans="2:6" x14ac:dyDescent="0.25">
      <c r="B193" s="1"/>
      <c r="C193" s="6"/>
      <c r="D193" s="6"/>
      <c r="E193" s="3"/>
      <c r="F193" s="3"/>
    </row>
    <row r="194" spans="2:6" x14ac:dyDescent="0.25">
      <c r="B194" s="1"/>
      <c r="C194" s="6"/>
      <c r="D194" s="6"/>
      <c r="E194" s="3"/>
      <c r="F194" s="3"/>
    </row>
    <row r="195" spans="2:6" x14ac:dyDescent="0.25">
      <c r="B195" s="1"/>
      <c r="C195" s="6"/>
      <c r="D195" s="6"/>
      <c r="E195" s="3"/>
      <c r="F195" s="3"/>
    </row>
    <row r="196" spans="2:6" x14ac:dyDescent="0.25">
      <c r="B196" s="1"/>
      <c r="C196" s="6"/>
      <c r="D196" s="6"/>
      <c r="E196" s="3"/>
      <c r="F196" s="3"/>
    </row>
    <row r="197" spans="2:6" x14ac:dyDescent="0.25">
      <c r="B197" s="1"/>
      <c r="C197" s="6"/>
      <c r="D197" s="6"/>
      <c r="E197" s="3"/>
      <c r="F197" s="3"/>
    </row>
    <row r="198" spans="2:6" x14ac:dyDescent="0.25">
      <c r="B198" s="1"/>
      <c r="C198" s="6"/>
      <c r="D198" s="6"/>
      <c r="E198" s="3"/>
      <c r="F198" s="3"/>
    </row>
    <row r="199" spans="2:6" x14ac:dyDescent="0.25">
      <c r="B199" s="1"/>
      <c r="C199" s="6"/>
      <c r="D199" s="6"/>
      <c r="E199" s="3"/>
      <c r="F199" s="3"/>
    </row>
    <row r="200" spans="2:6" x14ac:dyDescent="0.25">
      <c r="B200" s="1"/>
      <c r="C200" s="6"/>
      <c r="D200" s="6"/>
      <c r="E200" s="3"/>
      <c r="F200" s="3"/>
    </row>
    <row r="201" spans="2:6" x14ac:dyDescent="0.25">
      <c r="B201" s="1"/>
      <c r="C201" s="6"/>
      <c r="D201" s="6"/>
      <c r="E201" s="3"/>
      <c r="F201" s="3"/>
    </row>
    <row r="202" spans="2:6" x14ac:dyDescent="0.25">
      <c r="B202" s="1"/>
      <c r="C202" s="6"/>
      <c r="D202" s="6"/>
      <c r="E202" s="3"/>
      <c r="F202" s="3"/>
    </row>
    <row r="203" spans="2:6" x14ac:dyDescent="0.25">
      <c r="B203" s="1"/>
      <c r="C203" s="6"/>
      <c r="D203" s="6"/>
      <c r="E203" s="3"/>
      <c r="F203" s="3"/>
    </row>
    <row r="204" spans="2:6" x14ac:dyDescent="0.25">
      <c r="B204" s="1"/>
      <c r="C204" s="6"/>
      <c r="D204" s="6"/>
      <c r="E204" s="3"/>
      <c r="F204" s="3"/>
    </row>
    <row r="205" spans="2:6" x14ac:dyDescent="0.25">
      <c r="B205" s="1"/>
      <c r="C205" s="6"/>
      <c r="D205" s="6"/>
      <c r="E205" s="3"/>
      <c r="F205" s="3"/>
    </row>
    <row r="206" spans="2:6" x14ac:dyDescent="0.25">
      <c r="B206" s="1"/>
      <c r="C206" s="6"/>
      <c r="D206" s="6"/>
      <c r="E206" s="3"/>
      <c r="F206" s="3"/>
    </row>
    <row r="207" spans="2:6" x14ac:dyDescent="0.25">
      <c r="B207" s="1"/>
      <c r="C207" s="6"/>
      <c r="D207" s="6"/>
      <c r="E207" s="3"/>
      <c r="F207" s="3"/>
    </row>
    <row r="208" spans="2:6" x14ac:dyDescent="0.25">
      <c r="B208" s="1"/>
      <c r="C208" s="6"/>
      <c r="D208" s="6"/>
      <c r="E208" s="3"/>
      <c r="F208" s="3"/>
    </row>
    <row r="209" spans="2:6" x14ac:dyDescent="0.25">
      <c r="B209" s="1"/>
      <c r="C209" s="6"/>
      <c r="D209" s="6"/>
      <c r="E209" s="3"/>
      <c r="F209" s="3"/>
    </row>
    <row r="210" spans="2:6" x14ac:dyDescent="0.25">
      <c r="B210" s="1"/>
      <c r="C210" s="6"/>
      <c r="D210" s="6"/>
      <c r="E210" s="3"/>
      <c r="F210" s="3"/>
    </row>
    <row r="211" spans="2:6" x14ac:dyDescent="0.25">
      <c r="B211" s="1"/>
      <c r="C211" s="6"/>
      <c r="D211" s="6"/>
      <c r="E211" s="3"/>
      <c r="F211" s="3"/>
    </row>
    <row r="212" spans="2:6" x14ac:dyDescent="0.25">
      <c r="B212" s="1"/>
      <c r="C212" s="6"/>
      <c r="D212" s="6"/>
      <c r="E212" s="3"/>
      <c r="F212" s="3"/>
    </row>
    <row r="213" spans="2:6" x14ac:dyDescent="0.25">
      <c r="B213" s="1"/>
      <c r="C213" s="6"/>
      <c r="D213" s="6"/>
      <c r="E213" s="3"/>
      <c r="F213" s="3"/>
    </row>
    <row r="214" spans="2:6" x14ac:dyDescent="0.25">
      <c r="B214" s="1"/>
      <c r="C214" s="6"/>
      <c r="D214" s="6"/>
      <c r="E214" s="3"/>
      <c r="F214" s="3"/>
    </row>
    <row r="215" spans="2:6" x14ac:dyDescent="0.25">
      <c r="B215" s="1"/>
      <c r="C215" s="6"/>
      <c r="D215" s="6"/>
      <c r="E215" s="3"/>
      <c r="F215" s="3"/>
    </row>
    <row r="216" spans="2:6" x14ac:dyDescent="0.25">
      <c r="B216" s="1"/>
      <c r="C216" s="6"/>
      <c r="D216" s="6"/>
      <c r="E216" s="3"/>
      <c r="F216" s="3"/>
    </row>
    <row r="217" spans="2:6" x14ac:dyDescent="0.25">
      <c r="B217" s="1"/>
      <c r="C217" s="6"/>
      <c r="D217" s="6"/>
      <c r="E217" s="3"/>
      <c r="F217" s="3"/>
    </row>
    <row r="218" spans="2:6" x14ac:dyDescent="0.25">
      <c r="B218" s="1"/>
      <c r="C218" s="6"/>
      <c r="D218" s="6"/>
      <c r="E218" s="3"/>
      <c r="F218" s="3"/>
    </row>
    <row r="219" spans="2:6" x14ac:dyDescent="0.25">
      <c r="B219" s="1"/>
      <c r="C219" s="6"/>
      <c r="D219" s="6"/>
      <c r="E219" s="3"/>
      <c r="F219" s="3"/>
    </row>
    <row r="220" spans="2:6" x14ac:dyDescent="0.25">
      <c r="B220" s="1"/>
      <c r="C220" s="6"/>
      <c r="D220" s="6"/>
      <c r="E220" s="3"/>
      <c r="F220" s="3"/>
    </row>
    <row r="221" spans="2:6" x14ac:dyDescent="0.25">
      <c r="B221" s="1"/>
      <c r="C221" s="6"/>
      <c r="D221" s="6"/>
      <c r="E221" s="3"/>
      <c r="F221" s="3"/>
    </row>
    <row r="222" spans="2:6" x14ac:dyDescent="0.25">
      <c r="B222" s="1"/>
      <c r="C222" s="6"/>
      <c r="D222" s="6"/>
      <c r="E222" s="3"/>
      <c r="F222" s="3"/>
    </row>
    <row r="223" spans="2:6" x14ac:dyDescent="0.25">
      <c r="B223" s="1"/>
      <c r="C223" s="6"/>
      <c r="D223" s="6"/>
      <c r="E223" s="3"/>
      <c r="F223" s="3"/>
    </row>
    <row r="224" spans="2:6" x14ac:dyDescent="0.25">
      <c r="B224" s="1"/>
      <c r="C224" s="6"/>
      <c r="D224" s="6"/>
      <c r="E224" s="3"/>
      <c r="F224" s="3"/>
    </row>
    <row r="225" spans="2:6" x14ac:dyDescent="0.25">
      <c r="B225" s="1"/>
      <c r="C225" s="6"/>
      <c r="D225" s="6"/>
      <c r="E225" s="3"/>
      <c r="F225" s="3"/>
    </row>
    <row r="226" spans="2:6" x14ac:dyDescent="0.25">
      <c r="B226" s="1"/>
      <c r="C226" s="6"/>
      <c r="D226" s="6"/>
      <c r="E226" s="3"/>
      <c r="F226" s="3"/>
    </row>
    <row r="227" spans="2:6" x14ac:dyDescent="0.25">
      <c r="B227" s="1"/>
      <c r="C227" s="6"/>
      <c r="D227" s="6"/>
      <c r="E227" s="3"/>
      <c r="F227" s="3"/>
    </row>
    <row r="228" spans="2:6" x14ac:dyDescent="0.25">
      <c r="B228" s="1"/>
      <c r="C228" s="6"/>
      <c r="D228" s="6"/>
      <c r="E228" s="3"/>
      <c r="F228" s="3"/>
    </row>
    <row r="229" spans="2:6" x14ac:dyDescent="0.25">
      <c r="B229" s="1"/>
      <c r="C229" s="6"/>
      <c r="D229" s="6"/>
      <c r="E229" s="3"/>
      <c r="F229" s="3"/>
    </row>
    <row r="230" spans="2:6" x14ac:dyDescent="0.25">
      <c r="B230" s="1"/>
      <c r="C230" s="6"/>
      <c r="D230" s="6"/>
      <c r="E230" s="3"/>
      <c r="F230" s="3"/>
    </row>
    <row r="231" spans="2:6" x14ac:dyDescent="0.25">
      <c r="B231" s="1"/>
      <c r="C231" s="6"/>
      <c r="D231" s="6"/>
      <c r="E231" s="3"/>
      <c r="F231" s="3"/>
    </row>
    <row r="232" spans="2:6" x14ac:dyDescent="0.25">
      <c r="B232" s="1"/>
      <c r="C232" s="6"/>
      <c r="D232" s="6"/>
      <c r="E232" s="3"/>
      <c r="F232" s="3"/>
    </row>
    <row r="233" spans="2:6" x14ac:dyDescent="0.25">
      <c r="B233" s="1"/>
      <c r="C233" s="6"/>
      <c r="D233" s="6"/>
      <c r="E233" s="3"/>
      <c r="F233" s="3"/>
    </row>
    <row r="234" spans="2:6" x14ac:dyDescent="0.25">
      <c r="B234" s="1"/>
      <c r="C234" s="6"/>
      <c r="D234" s="6"/>
      <c r="E234" s="3"/>
      <c r="F234" s="3"/>
    </row>
    <row r="235" spans="2:6" x14ac:dyDescent="0.25">
      <c r="B235" s="1"/>
      <c r="C235" s="6"/>
      <c r="D235" s="6"/>
      <c r="E235" s="3"/>
      <c r="F235" s="3"/>
    </row>
    <row r="236" spans="2:6" x14ac:dyDescent="0.25">
      <c r="B236" s="1"/>
      <c r="C236" s="6"/>
      <c r="D236" s="6"/>
      <c r="E236" s="3"/>
      <c r="F236" s="3"/>
    </row>
    <row r="237" spans="2:6" x14ac:dyDescent="0.25">
      <c r="B237" s="1"/>
      <c r="C237" s="6"/>
      <c r="D237" s="6"/>
      <c r="E237" s="3"/>
      <c r="F237" s="3"/>
    </row>
    <row r="238" spans="2:6" x14ac:dyDescent="0.25">
      <c r="B238" s="1"/>
      <c r="C238" s="6"/>
      <c r="D238" s="6"/>
      <c r="E238" s="3"/>
      <c r="F238" s="3"/>
    </row>
    <row r="239" spans="2:6" x14ac:dyDescent="0.25">
      <c r="B239" s="1"/>
      <c r="C239" s="6"/>
      <c r="D239" s="6"/>
      <c r="E239" s="3"/>
      <c r="F239" s="3"/>
    </row>
    <row r="240" spans="2:6" x14ac:dyDescent="0.25">
      <c r="B240" s="1"/>
      <c r="C240" s="6"/>
      <c r="D240" s="6"/>
      <c r="E240" s="3"/>
      <c r="F240" s="3"/>
    </row>
    <row r="241" spans="2:6" x14ac:dyDescent="0.25">
      <c r="B241" s="1"/>
      <c r="C241" s="6"/>
      <c r="D241" s="6"/>
      <c r="E241" s="3"/>
      <c r="F241" s="3"/>
    </row>
    <row r="242" spans="2:6" x14ac:dyDescent="0.25">
      <c r="B242" s="1"/>
      <c r="C242" s="6"/>
      <c r="D242" s="6"/>
      <c r="E242" s="3"/>
      <c r="F242" s="3"/>
    </row>
    <row r="243" spans="2:6" x14ac:dyDescent="0.25">
      <c r="B243" s="1"/>
      <c r="C243" s="6"/>
      <c r="D243" s="6"/>
      <c r="E243" s="3"/>
      <c r="F243" s="3"/>
    </row>
    <row r="244" spans="2:6" x14ac:dyDescent="0.25">
      <c r="B244" s="1"/>
      <c r="C244" s="6"/>
      <c r="D244" s="6"/>
      <c r="E244" s="3"/>
      <c r="F244" s="3"/>
    </row>
    <row r="245" spans="2:6" x14ac:dyDescent="0.25">
      <c r="B245" s="1"/>
      <c r="C245" s="6"/>
      <c r="D245" s="6"/>
      <c r="E245" s="3"/>
      <c r="F245" s="3"/>
    </row>
    <row r="246" spans="2:6" x14ac:dyDescent="0.25">
      <c r="B246" s="1"/>
      <c r="C246" s="6"/>
      <c r="D246" s="6"/>
      <c r="E246" s="3"/>
      <c r="F246" s="3"/>
    </row>
    <row r="247" spans="2:6" x14ac:dyDescent="0.25">
      <c r="B247" s="1"/>
      <c r="C247" s="6"/>
      <c r="D247" s="6"/>
      <c r="E247" s="3"/>
      <c r="F247" s="3"/>
    </row>
    <row r="248" spans="2:6" x14ac:dyDescent="0.25">
      <c r="B248" s="1"/>
      <c r="C248" s="6"/>
      <c r="D248" s="6"/>
      <c r="E248" s="3"/>
      <c r="F248" s="3"/>
    </row>
    <row r="249" spans="2:6" x14ac:dyDescent="0.25">
      <c r="B249" s="1"/>
      <c r="C249" s="6"/>
      <c r="D249" s="6"/>
      <c r="E249" s="3"/>
      <c r="F249" s="3"/>
    </row>
    <row r="250" spans="2:6" x14ac:dyDescent="0.25">
      <c r="B250" s="1"/>
      <c r="C250" s="6"/>
      <c r="D250" s="6"/>
      <c r="E250" s="3"/>
      <c r="F250" s="3"/>
    </row>
    <row r="251" spans="2:6" x14ac:dyDescent="0.25">
      <c r="B251" s="1"/>
      <c r="C251" s="6"/>
      <c r="D251" s="6"/>
      <c r="E251" s="3"/>
      <c r="F251" s="3"/>
    </row>
    <row r="252" spans="2:6" x14ac:dyDescent="0.25">
      <c r="B252" s="1"/>
      <c r="C252" s="6"/>
      <c r="D252" s="6"/>
      <c r="E252" s="3"/>
      <c r="F252" s="3"/>
    </row>
    <row r="253" spans="2:6" x14ac:dyDescent="0.25">
      <c r="B253" s="1"/>
      <c r="C253" s="6"/>
      <c r="D253" s="6"/>
      <c r="E253" s="3"/>
      <c r="F253" s="3"/>
    </row>
    <row r="254" spans="2:6" x14ac:dyDescent="0.25">
      <c r="B254" s="1"/>
      <c r="C254" s="6"/>
      <c r="D254" s="6"/>
      <c r="E254" s="3"/>
      <c r="F254" s="3"/>
    </row>
    <row r="255" spans="2:6" x14ac:dyDescent="0.25">
      <c r="B255" s="1"/>
      <c r="C255" s="6"/>
      <c r="D255" s="6"/>
      <c r="E255" s="3"/>
      <c r="F255" s="3"/>
    </row>
    <row r="256" spans="2:6" x14ac:dyDescent="0.25">
      <c r="B256" s="1"/>
      <c r="C256" s="6"/>
      <c r="D256" s="6"/>
      <c r="E256" s="3"/>
      <c r="F256" s="3"/>
    </row>
    <row r="257" spans="2:6" x14ac:dyDescent="0.25">
      <c r="B257" s="1"/>
      <c r="C257" s="6"/>
      <c r="D257" s="6"/>
      <c r="E257" s="3"/>
      <c r="F257" s="3"/>
    </row>
    <row r="258" spans="2:6" x14ac:dyDescent="0.25">
      <c r="B258" s="1"/>
      <c r="C258" s="6"/>
      <c r="D258" s="6"/>
      <c r="E258" s="3"/>
      <c r="F258" s="3"/>
    </row>
    <row r="259" spans="2:6" x14ac:dyDescent="0.25">
      <c r="B259" s="1"/>
      <c r="C259" s="6"/>
      <c r="D259" s="6"/>
      <c r="E259" s="3"/>
      <c r="F259" s="3"/>
    </row>
    <row r="260" spans="2:6" x14ac:dyDescent="0.25">
      <c r="B260" s="1"/>
      <c r="C260" s="6"/>
      <c r="D260" s="6"/>
      <c r="E260" s="3"/>
      <c r="F260" s="3"/>
    </row>
    <row r="261" spans="2:6" x14ac:dyDescent="0.25">
      <c r="B261" s="1"/>
      <c r="C261" s="6"/>
      <c r="D261" s="6"/>
      <c r="E261" s="3"/>
      <c r="F261" s="3"/>
    </row>
    <row r="262" spans="2:6" x14ac:dyDescent="0.25">
      <c r="B262" s="1"/>
      <c r="C262" s="6"/>
      <c r="D262" s="6"/>
      <c r="E262" s="3"/>
      <c r="F262" s="3"/>
    </row>
    <row r="263" spans="2:6" x14ac:dyDescent="0.25">
      <c r="B263" s="1"/>
      <c r="C263" s="6"/>
      <c r="D263" s="6"/>
      <c r="E263" s="3"/>
      <c r="F263" s="3"/>
    </row>
    <row r="264" spans="2:6" x14ac:dyDescent="0.25">
      <c r="B264" s="1"/>
      <c r="C264" s="6"/>
      <c r="D264" s="6"/>
      <c r="E264" s="3"/>
      <c r="F264" s="3"/>
    </row>
    <row r="265" spans="2:6" x14ac:dyDescent="0.25">
      <c r="B265" s="1"/>
      <c r="C265" s="6"/>
      <c r="D265" s="6"/>
      <c r="E265" s="3"/>
      <c r="F265" s="3"/>
    </row>
    <row r="266" spans="2:6" x14ac:dyDescent="0.25">
      <c r="B266" s="1"/>
      <c r="C266" s="6"/>
      <c r="D266" s="6"/>
      <c r="E266" s="3"/>
      <c r="F266" s="3"/>
    </row>
    <row r="267" spans="2:6" x14ac:dyDescent="0.25">
      <c r="B267" s="1"/>
      <c r="C267" s="6"/>
      <c r="D267" s="6"/>
      <c r="E267" s="3"/>
      <c r="F267" s="3"/>
    </row>
    <row r="268" spans="2:6" x14ac:dyDescent="0.25">
      <c r="B268" s="1"/>
      <c r="C268" s="6"/>
      <c r="D268" s="6"/>
      <c r="E268" s="3"/>
      <c r="F268" s="3"/>
    </row>
    <row r="269" spans="2:6" x14ac:dyDescent="0.25">
      <c r="B269" s="1"/>
      <c r="C269" s="6"/>
      <c r="D269" s="6"/>
      <c r="E269" s="3"/>
      <c r="F269" s="3"/>
    </row>
    <row r="270" spans="2:6" x14ac:dyDescent="0.25">
      <c r="B270" s="1"/>
      <c r="C270" s="6"/>
      <c r="D270" s="6"/>
      <c r="E270" s="3"/>
      <c r="F270" s="3"/>
    </row>
    <row r="271" spans="2:6" x14ac:dyDescent="0.25">
      <c r="B271" s="1"/>
      <c r="C271" s="6"/>
      <c r="D271" s="6"/>
      <c r="E271" s="3"/>
      <c r="F271" s="3"/>
    </row>
    <row r="272" spans="2:6" x14ac:dyDescent="0.25">
      <c r="B272" s="1"/>
      <c r="C272" s="6"/>
      <c r="D272" s="6"/>
      <c r="E272" s="3"/>
      <c r="F272" s="3"/>
    </row>
    <row r="273" spans="2:6" x14ac:dyDescent="0.25">
      <c r="B273" s="1"/>
      <c r="C273" s="6"/>
      <c r="D273" s="6"/>
      <c r="E273" s="3"/>
      <c r="F273" s="3"/>
    </row>
    <row r="274" spans="2:6" x14ac:dyDescent="0.25">
      <c r="B274" s="1"/>
      <c r="C274" s="6"/>
      <c r="D274" s="6"/>
      <c r="E274" s="3"/>
      <c r="F274" s="3"/>
    </row>
    <row r="275" spans="2:6" x14ac:dyDescent="0.25">
      <c r="B275" s="1"/>
      <c r="C275" s="6"/>
      <c r="D275" s="6"/>
      <c r="E275" s="3"/>
      <c r="F275" s="3"/>
    </row>
    <row r="276" spans="2:6" x14ac:dyDescent="0.25">
      <c r="B276" s="1"/>
      <c r="C276" s="6"/>
      <c r="D276" s="6"/>
      <c r="E276" s="3"/>
      <c r="F276" s="3"/>
    </row>
    <row r="277" spans="2:6" x14ac:dyDescent="0.25">
      <c r="B277" s="1"/>
      <c r="C277" s="6"/>
      <c r="D277" s="6"/>
      <c r="E277" s="3"/>
      <c r="F277" s="3"/>
    </row>
    <row r="278" spans="2:6" x14ac:dyDescent="0.25">
      <c r="B278" s="1"/>
      <c r="C278" s="6"/>
      <c r="D278" s="6"/>
      <c r="E278" s="3"/>
      <c r="F278" s="3"/>
    </row>
    <row r="279" spans="2:6" x14ac:dyDescent="0.25">
      <c r="B279" s="1"/>
      <c r="C279" s="6"/>
      <c r="D279" s="6"/>
      <c r="E279" s="3"/>
      <c r="F279" s="3"/>
    </row>
    <row r="280" spans="2:6" x14ac:dyDescent="0.25">
      <c r="B280" s="1"/>
      <c r="C280" s="6"/>
      <c r="D280" s="6"/>
      <c r="E280" s="3"/>
      <c r="F280" s="3"/>
    </row>
    <row r="281" spans="2:6" x14ac:dyDescent="0.25">
      <c r="B281" s="1"/>
      <c r="C281" s="6"/>
      <c r="D281" s="6"/>
      <c r="E281" s="3"/>
      <c r="F281" s="3"/>
    </row>
    <row r="282" spans="2:6" x14ac:dyDescent="0.25">
      <c r="B282" s="1"/>
      <c r="C282" s="6"/>
      <c r="D282" s="6"/>
      <c r="E282" s="3"/>
      <c r="F282" s="3"/>
    </row>
    <row r="283" spans="2:6" x14ac:dyDescent="0.25">
      <c r="B283" s="1"/>
      <c r="C283" s="6"/>
      <c r="D283" s="6"/>
      <c r="E283" s="3"/>
      <c r="F283" s="3"/>
    </row>
    <row r="284" spans="2:6" x14ac:dyDescent="0.25">
      <c r="B284" s="1"/>
      <c r="C284" s="6"/>
      <c r="D284" s="6"/>
      <c r="E284" s="3"/>
      <c r="F284" s="3"/>
    </row>
    <row r="285" spans="2:6" x14ac:dyDescent="0.25">
      <c r="B285" s="1"/>
      <c r="C285" s="6"/>
      <c r="D285" s="6"/>
      <c r="E285" s="3"/>
      <c r="F285" s="3"/>
    </row>
    <row r="286" spans="2:6" x14ac:dyDescent="0.25">
      <c r="B286" s="1"/>
      <c r="C286" s="6"/>
      <c r="D286" s="6"/>
      <c r="E286" s="3"/>
      <c r="F286" s="3"/>
    </row>
    <row r="287" spans="2:6" x14ac:dyDescent="0.25">
      <c r="B287" s="1"/>
      <c r="C287" s="6"/>
      <c r="D287" s="6"/>
      <c r="E287" s="3"/>
      <c r="F287" s="3"/>
    </row>
    <row r="288" spans="2:6" x14ac:dyDescent="0.25">
      <c r="B288" s="1"/>
      <c r="C288" s="6"/>
      <c r="D288" s="6"/>
      <c r="E288" s="3"/>
      <c r="F288" s="3"/>
    </row>
    <row r="289" spans="2:6" x14ac:dyDescent="0.25">
      <c r="B289" s="1"/>
      <c r="C289" s="6"/>
      <c r="D289" s="6"/>
      <c r="E289" s="3"/>
      <c r="F289" s="3"/>
    </row>
    <row r="290" spans="2:6" x14ac:dyDescent="0.25">
      <c r="B290" s="1"/>
      <c r="C290" s="6"/>
      <c r="D290" s="6"/>
      <c r="E290" s="3"/>
      <c r="F290" s="3"/>
    </row>
    <row r="291" spans="2:6" x14ac:dyDescent="0.25">
      <c r="B291" s="1"/>
      <c r="C291" s="6"/>
      <c r="D291" s="6"/>
      <c r="E291" s="3"/>
      <c r="F291" s="3"/>
    </row>
    <row r="292" spans="2:6" x14ac:dyDescent="0.25">
      <c r="B292" s="1"/>
      <c r="C292" s="6"/>
      <c r="D292" s="6"/>
      <c r="E292" s="3"/>
      <c r="F292" s="3"/>
    </row>
    <row r="293" spans="2:6" x14ac:dyDescent="0.25">
      <c r="B293" s="1"/>
      <c r="C293" s="6"/>
      <c r="D293" s="6"/>
      <c r="E293" s="3"/>
      <c r="F293" s="3"/>
    </row>
    <row r="294" spans="2:6" x14ac:dyDescent="0.25">
      <c r="B294" s="1"/>
      <c r="C294" s="6"/>
      <c r="D294" s="6"/>
      <c r="E294" s="3"/>
      <c r="F294" s="3"/>
    </row>
    <row r="295" spans="2:6" x14ac:dyDescent="0.25">
      <c r="B295" s="1"/>
      <c r="C295" s="6"/>
      <c r="D295" s="6"/>
      <c r="E295" s="3"/>
      <c r="F295" s="3"/>
    </row>
    <row r="296" spans="2:6" x14ac:dyDescent="0.25">
      <c r="B296" s="1"/>
      <c r="C296" s="6"/>
      <c r="D296" s="6"/>
      <c r="E296" s="3"/>
      <c r="F296" s="3"/>
    </row>
    <row r="297" spans="2:6" x14ac:dyDescent="0.25">
      <c r="B297" s="1"/>
      <c r="C297" s="6"/>
      <c r="D297" s="6"/>
      <c r="E297" s="3"/>
      <c r="F297" s="3"/>
    </row>
    <row r="298" spans="2:6" x14ac:dyDescent="0.25">
      <c r="B298" s="1"/>
      <c r="C298" s="6"/>
      <c r="D298" s="6"/>
      <c r="E298" s="3"/>
      <c r="F298" s="3"/>
    </row>
    <row r="299" spans="2:6" x14ac:dyDescent="0.25">
      <c r="B299" s="1"/>
      <c r="C299" s="6"/>
      <c r="D299" s="6"/>
      <c r="E299" s="3"/>
      <c r="F299" s="3"/>
    </row>
    <row r="300" spans="2:6" x14ac:dyDescent="0.25">
      <c r="B300" s="1"/>
      <c r="C300" s="6"/>
      <c r="D300" s="6"/>
      <c r="E300" s="3"/>
      <c r="F300" s="3"/>
    </row>
    <row r="301" spans="2:6" x14ac:dyDescent="0.25">
      <c r="B301" s="1"/>
      <c r="C301" s="6"/>
      <c r="D301" s="6"/>
      <c r="E301" s="3"/>
      <c r="F301" s="3"/>
    </row>
    <row r="302" spans="2:6" x14ac:dyDescent="0.25">
      <c r="B302" s="1"/>
      <c r="C302" s="6"/>
      <c r="D302" s="6"/>
      <c r="E302" s="3"/>
      <c r="F302" s="3"/>
    </row>
    <row r="303" spans="2:6" x14ac:dyDescent="0.25">
      <c r="B303" s="1"/>
      <c r="C303" s="6"/>
      <c r="D303" s="6"/>
      <c r="E303" s="3"/>
      <c r="F303" s="3"/>
    </row>
    <row r="304" spans="2:6" x14ac:dyDescent="0.25">
      <c r="B304" s="1"/>
      <c r="C304" s="6"/>
      <c r="D304" s="6"/>
      <c r="E304" s="3"/>
      <c r="F304" s="3"/>
    </row>
    <row r="305" spans="2:6" x14ac:dyDescent="0.25">
      <c r="B305" s="1"/>
      <c r="C305" s="6"/>
      <c r="D305" s="6"/>
      <c r="E305" s="3"/>
      <c r="F305" s="3"/>
    </row>
    <row r="306" spans="2:6" x14ac:dyDescent="0.25">
      <c r="B306" s="1"/>
      <c r="C306" s="6"/>
      <c r="D306" s="6"/>
      <c r="E306" s="3"/>
      <c r="F306" s="3"/>
    </row>
    <row r="307" spans="2:6" x14ac:dyDescent="0.25">
      <c r="B307" s="1"/>
      <c r="C307" s="6"/>
      <c r="D307" s="6"/>
      <c r="E307" s="3"/>
      <c r="F307" s="3"/>
    </row>
    <row r="308" spans="2:6" x14ac:dyDescent="0.25">
      <c r="B308" s="1"/>
      <c r="C308" s="6"/>
      <c r="D308" s="6"/>
      <c r="E308" s="3"/>
      <c r="F308" s="3"/>
    </row>
    <row r="309" spans="2:6" x14ac:dyDescent="0.25">
      <c r="B309" s="1"/>
      <c r="C309" s="6"/>
      <c r="D309" s="6"/>
      <c r="E309" s="3"/>
      <c r="F309" s="3"/>
    </row>
    <row r="310" spans="2:6" x14ac:dyDescent="0.25">
      <c r="B310" s="1"/>
      <c r="C310" s="6"/>
      <c r="D310" s="6"/>
      <c r="E310" s="3"/>
      <c r="F310" s="3"/>
    </row>
    <row r="311" spans="2:6" x14ac:dyDescent="0.25">
      <c r="B311" s="1"/>
      <c r="C311" s="6"/>
      <c r="D311" s="6"/>
      <c r="E311" s="3"/>
      <c r="F311" s="3"/>
    </row>
    <row r="312" spans="2:6" x14ac:dyDescent="0.25">
      <c r="B312" s="1"/>
      <c r="C312" s="6"/>
      <c r="D312" s="6"/>
      <c r="E312" s="3"/>
      <c r="F312" s="3"/>
    </row>
    <row r="313" spans="2:6" x14ac:dyDescent="0.25">
      <c r="B313" s="1"/>
      <c r="C313" s="6"/>
      <c r="D313" s="6"/>
      <c r="E313" s="3"/>
      <c r="F313" s="3"/>
    </row>
    <row r="314" spans="2:6" x14ac:dyDescent="0.25">
      <c r="B314" s="1"/>
      <c r="C314" s="6"/>
      <c r="D314" s="6"/>
      <c r="E314" s="3"/>
      <c r="F314" s="3"/>
    </row>
    <row r="315" spans="2:6" x14ac:dyDescent="0.25">
      <c r="B315" s="1"/>
      <c r="C315" s="6"/>
      <c r="D315" s="6"/>
      <c r="E315" s="3"/>
      <c r="F315" s="3"/>
    </row>
    <row r="316" spans="2:6" x14ac:dyDescent="0.25">
      <c r="B316" s="1"/>
      <c r="C316" s="6"/>
      <c r="D316" s="6"/>
      <c r="E316" s="3"/>
      <c r="F316" s="3"/>
    </row>
    <row r="317" spans="2:6" x14ac:dyDescent="0.25">
      <c r="B317" s="1"/>
      <c r="C317" s="6"/>
      <c r="D317" s="6"/>
      <c r="E317" s="3"/>
      <c r="F317" s="3"/>
    </row>
    <row r="318" spans="2:6" x14ac:dyDescent="0.25">
      <c r="B318" s="1"/>
      <c r="C318" s="6"/>
      <c r="D318" s="6"/>
      <c r="E318" s="3"/>
      <c r="F318" s="3"/>
    </row>
    <row r="319" spans="2:6" x14ac:dyDescent="0.25">
      <c r="B319" s="1"/>
      <c r="C319" s="6"/>
      <c r="D319" s="6"/>
      <c r="E319" s="3"/>
      <c r="F319" s="3"/>
    </row>
    <row r="320" spans="2:6" x14ac:dyDescent="0.25">
      <c r="B320" s="1"/>
      <c r="C320" s="6"/>
      <c r="D320" s="6"/>
      <c r="E320" s="3"/>
      <c r="F320" s="3"/>
    </row>
    <row r="321" spans="2:6" x14ac:dyDescent="0.25">
      <c r="B321" s="1"/>
      <c r="C321" s="6"/>
      <c r="D321" s="6"/>
      <c r="E321" s="3"/>
      <c r="F321" s="3"/>
    </row>
    <row r="322" spans="2:6" x14ac:dyDescent="0.25">
      <c r="B322" s="1"/>
      <c r="C322" s="6"/>
      <c r="D322" s="6"/>
      <c r="E322" s="3"/>
      <c r="F322" s="3"/>
    </row>
    <row r="323" spans="2:6" x14ac:dyDescent="0.25">
      <c r="B323" s="1"/>
      <c r="C323" s="6"/>
      <c r="D323" s="6"/>
      <c r="E323" s="3"/>
      <c r="F323" s="3"/>
    </row>
    <row r="324" spans="2:6" x14ac:dyDescent="0.25">
      <c r="B324" s="1"/>
      <c r="C324" s="6"/>
      <c r="D324" s="6"/>
      <c r="E324" s="3"/>
      <c r="F324" s="3"/>
    </row>
    <row r="325" spans="2:6" x14ac:dyDescent="0.25">
      <c r="B325" s="1"/>
      <c r="C325" s="6"/>
      <c r="D325" s="6"/>
      <c r="E325" s="3"/>
      <c r="F325" s="3"/>
    </row>
    <row r="326" spans="2:6" x14ac:dyDescent="0.25">
      <c r="B326" s="1"/>
      <c r="C326" s="6"/>
      <c r="D326" s="6"/>
      <c r="E326" s="3"/>
      <c r="F326" s="3"/>
    </row>
    <row r="327" spans="2:6" x14ac:dyDescent="0.25">
      <c r="B327" s="1"/>
      <c r="C327" s="6"/>
      <c r="D327" s="6"/>
      <c r="E327" s="3"/>
      <c r="F327" s="3"/>
    </row>
    <row r="328" spans="2:6" x14ac:dyDescent="0.25">
      <c r="B328" s="1"/>
      <c r="C328" s="6"/>
      <c r="D328" s="6"/>
      <c r="E328" s="3"/>
      <c r="F328" s="3"/>
    </row>
    <row r="329" spans="2:6" x14ac:dyDescent="0.25">
      <c r="B329" s="1"/>
      <c r="C329" s="6"/>
      <c r="D329" s="6"/>
      <c r="E329" s="3"/>
      <c r="F329" s="3"/>
    </row>
    <row r="330" spans="2:6" x14ac:dyDescent="0.25">
      <c r="B330" s="1"/>
      <c r="C330" s="6"/>
      <c r="D330" s="6"/>
      <c r="E330" s="3"/>
      <c r="F330" s="3"/>
    </row>
    <row r="331" spans="2:6" x14ac:dyDescent="0.25">
      <c r="B331" s="1"/>
      <c r="C331" s="6"/>
      <c r="D331" s="6"/>
      <c r="E331" s="3"/>
      <c r="F331" s="3"/>
    </row>
    <row r="332" spans="2:6" x14ac:dyDescent="0.25">
      <c r="B332" s="1"/>
      <c r="C332" s="6"/>
      <c r="D332" s="6"/>
      <c r="E332" s="3"/>
      <c r="F332" s="3"/>
    </row>
    <row r="333" spans="2:6" x14ac:dyDescent="0.25">
      <c r="B333" s="1"/>
      <c r="C333" s="6"/>
      <c r="D333" s="6"/>
      <c r="E333" s="3"/>
      <c r="F333" s="3"/>
    </row>
    <row r="334" spans="2:6" x14ac:dyDescent="0.25">
      <c r="B334" s="1"/>
      <c r="C334" s="6"/>
      <c r="D334" s="6"/>
      <c r="E334" s="3"/>
      <c r="F334" s="3"/>
    </row>
    <row r="335" spans="2:6" x14ac:dyDescent="0.25">
      <c r="B335" s="1"/>
      <c r="C335" s="6"/>
      <c r="D335" s="6"/>
      <c r="E335" s="3"/>
      <c r="F335" s="3"/>
    </row>
    <row r="336" spans="2:6" x14ac:dyDescent="0.25">
      <c r="B336" s="1"/>
      <c r="C336" s="6"/>
      <c r="D336" s="6"/>
      <c r="E336" s="3"/>
      <c r="F336" s="3"/>
    </row>
    <row r="337" spans="2:6" x14ac:dyDescent="0.25">
      <c r="B337" s="1"/>
      <c r="C337" s="6"/>
      <c r="D337" s="6"/>
      <c r="E337" s="3"/>
      <c r="F337" s="3"/>
    </row>
    <row r="338" spans="2:6" x14ac:dyDescent="0.25">
      <c r="B338" s="1"/>
      <c r="C338" s="6"/>
      <c r="D338" s="6"/>
      <c r="E338" s="3"/>
      <c r="F338" s="3"/>
    </row>
    <row r="339" spans="2:6" x14ac:dyDescent="0.25">
      <c r="B339" s="1"/>
      <c r="C339" s="6"/>
      <c r="D339" s="6"/>
      <c r="E339" s="3"/>
      <c r="F339" s="3"/>
    </row>
    <row r="340" spans="2:6" x14ac:dyDescent="0.25">
      <c r="B340" s="1"/>
      <c r="C340" s="6"/>
      <c r="D340" s="6"/>
      <c r="E340" s="3"/>
      <c r="F340" s="3"/>
    </row>
    <row r="341" spans="2:6" x14ac:dyDescent="0.25">
      <c r="B341" s="1"/>
      <c r="C341" s="6"/>
      <c r="D341" s="6"/>
      <c r="E341" s="3"/>
      <c r="F341" s="3"/>
    </row>
    <row r="342" spans="2:6" x14ac:dyDescent="0.25">
      <c r="B342" s="1"/>
      <c r="C342" s="6"/>
      <c r="D342" s="6"/>
      <c r="E342" s="3"/>
      <c r="F342" s="3"/>
    </row>
    <row r="343" spans="2:6" x14ac:dyDescent="0.25">
      <c r="B343" s="1"/>
      <c r="C343" s="6"/>
      <c r="D343" s="6"/>
      <c r="E343" s="3"/>
      <c r="F343" s="3"/>
    </row>
    <row r="344" spans="2:6" x14ac:dyDescent="0.25">
      <c r="B344" s="1"/>
      <c r="C344" s="6"/>
      <c r="D344" s="6"/>
      <c r="E344" s="3"/>
      <c r="F344" s="3"/>
    </row>
    <row r="345" spans="2:6" x14ac:dyDescent="0.25">
      <c r="B345" s="1"/>
      <c r="C345" s="6"/>
      <c r="D345" s="6"/>
      <c r="E345" s="3"/>
      <c r="F345" s="3"/>
    </row>
    <row r="346" spans="2:6" x14ac:dyDescent="0.25">
      <c r="B346" s="1"/>
      <c r="C346" s="6"/>
      <c r="D346" s="6"/>
      <c r="E346" s="3"/>
      <c r="F346" s="3"/>
    </row>
    <row r="347" spans="2:6" x14ac:dyDescent="0.25">
      <c r="B347" s="1"/>
      <c r="C347" s="6"/>
      <c r="D347" s="6"/>
      <c r="E347" s="3"/>
      <c r="F347" s="3"/>
    </row>
    <row r="348" spans="2:6" x14ac:dyDescent="0.25">
      <c r="B348" s="1"/>
      <c r="C348" s="6"/>
      <c r="D348" s="6"/>
      <c r="E348" s="3"/>
      <c r="F348" s="3"/>
    </row>
    <row r="349" spans="2:6" x14ac:dyDescent="0.25">
      <c r="B349" s="1"/>
      <c r="C349" s="6"/>
      <c r="D349" s="6"/>
      <c r="E349" s="3"/>
      <c r="F349" s="3"/>
    </row>
    <row r="350" spans="2:6" x14ac:dyDescent="0.25">
      <c r="B350" s="1"/>
      <c r="C350" s="6"/>
      <c r="D350" s="6"/>
      <c r="E350" s="3"/>
      <c r="F350" s="3"/>
    </row>
    <row r="351" spans="2:6" x14ac:dyDescent="0.25">
      <c r="B351" s="1"/>
      <c r="C351" s="6"/>
      <c r="D351" s="6"/>
      <c r="E351" s="3"/>
      <c r="F351" s="3"/>
    </row>
    <row r="352" spans="2:6" x14ac:dyDescent="0.25">
      <c r="B352" s="1"/>
      <c r="C352" s="6"/>
      <c r="D352" s="6"/>
      <c r="E352" s="3"/>
      <c r="F352" s="3"/>
    </row>
    <row r="353" spans="2:6" x14ac:dyDescent="0.25">
      <c r="B353" s="1"/>
      <c r="C353" s="6"/>
      <c r="D353" s="6"/>
      <c r="E353" s="3"/>
      <c r="F353" s="3"/>
    </row>
    <row r="354" spans="2:6" x14ac:dyDescent="0.25">
      <c r="B354" s="1"/>
      <c r="C354" s="6"/>
      <c r="D354" s="6"/>
      <c r="E354" s="3"/>
      <c r="F354" s="3"/>
    </row>
    <row r="355" spans="2:6" x14ac:dyDescent="0.25">
      <c r="B355" s="1"/>
      <c r="C355" s="6"/>
      <c r="D355" s="6"/>
      <c r="E355" s="3"/>
      <c r="F355" s="3"/>
    </row>
    <row r="356" spans="2:6" x14ac:dyDescent="0.25">
      <c r="B356" s="1"/>
      <c r="C356" s="6"/>
      <c r="D356" s="6"/>
      <c r="E356" s="3"/>
      <c r="F356" s="3"/>
    </row>
    <row r="357" spans="2:6" x14ac:dyDescent="0.25">
      <c r="B357" s="1"/>
      <c r="C357" s="6"/>
      <c r="D357" s="6"/>
      <c r="E357" s="3"/>
      <c r="F357" s="3"/>
    </row>
    <row r="358" spans="2:6" x14ac:dyDescent="0.25">
      <c r="B358" s="1"/>
      <c r="C358" s="6"/>
      <c r="D358" s="6"/>
      <c r="E358" s="3"/>
      <c r="F358" s="3"/>
    </row>
    <row r="359" spans="2:6" x14ac:dyDescent="0.25">
      <c r="B359" s="1"/>
      <c r="C359" s="6"/>
      <c r="D359" s="6"/>
      <c r="E359" s="3"/>
      <c r="F359" s="3"/>
    </row>
    <row r="360" spans="2:6" x14ac:dyDescent="0.25">
      <c r="B360" s="1"/>
      <c r="C360" s="6"/>
      <c r="D360" s="6"/>
      <c r="E360" s="3"/>
      <c r="F360" s="3"/>
    </row>
    <row r="361" spans="2:6" x14ac:dyDescent="0.25">
      <c r="B361" s="1"/>
      <c r="C361" s="6"/>
      <c r="D361" s="6"/>
      <c r="E361" s="3"/>
      <c r="F361" s="3"/>
    </row>
    <row r="362" spans="2:6" x14ac:dyDescent="0.25">
      <c r="B362" s="1"/>
      <c r="C362" s="6"/>
      <c r="D362" s="6"/>
      <c r="E362" s="3"/>
      <c r="F362" s="3"/>
    </row>
    <row r="363" spans="2:6" x14ac:dyDescent="0.25">
      <c r="B363" s="1"/>
      <c r="C363" s="6"/>
      <c r="D363" s="6"/>
      <c r="E363" s="3"/>
      <c r="F363" s="3"/>
    </row>
    <row r="364" spans="2:6" x14ac:dyDescent="0.25">
      <c r="B364" s="1"/>
      <c r="C364" s="6"/>
      <c r="D364" s="6"/>
      <c r="E364" s="3"/>
      <c r="F364" s="3"/>
    </row>
    <row r="365" spans="2:6" x14ac:dyDescent="0.25">
      <c r="B365" s="1"/>
      <c r="C365" s="6"/>
      <c r="D365" s="6"/>
      <c r="E365" s="3"/>
      <c r="F365" s="3"/>
    </row>
    <row r="366" spans="2:6" x14ac:dyDescent="0.25">
      <c r="B366" s="1"/>
      <c r="C366" s="6"/>
      <c r="D366" s="6"/>
      <c r="E366" s="3"/>
      <c r="F366" s="3"/>
    </row>
    <row r="367" spans="2:6" x14ac:dyDescent="0.25">
      <c r="B367" s="1"/>
      <c r="C367" s="6"/>
      <c r="D367" s="6"/>
      <c r="E367" s="3"/>
      <c r="F367" s="3"/>
    </row>
    <row r="368" spans="2:6" x14ac:dyDescent="0.25">
      <c r="B368" s="1"/>
      <c r="C368" s="6"/>
      <c r="D368" s="6"/>
      <c r="E368" s="3"/>
      <c r="F368" s="3"/>
    </row>
    <row r="369" spans="2:6" x14ac:dyDescent="0.25">
      <c r="B369" s="1"/>
      <c r="C369" s="6"/>
      <c r="D369" s="6"/>
      <c r="E369" s="3"/>
      <c r="F369" s="3"/>
    </row>
    <row r="370" spans="2:6" x14ac:dyDescent="0.25">
      <c r="B370" s="1"/>
      <c r="C370" s="6"/>
      <c r="D370" s="6"/>
      <c r="E370" s="3"/>
      <c r="F370" s="3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4</xdr:col>
                    <xdr:colOff>619125</xdr:colOff>
                    <xdr:row>3</xdr:row>
                    <xdr:rowOff>114300</xdr:rowOff>
                  </from>
                  <to>
                    <xdr:col>5</xdr:col>
                    <xdr:colOff>666750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</vt:lpstr>
      <vt:lpstr>i</vt:lpstr>
      <vt:lpstr>n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2020-04-12T13:58:03Z</dcterms:created>
  <dcterms:modified xsi:type="dcterms:W3CDTF">2021-12-04T14:43:19Z</dcterms:modified>
</cp:coreProperties>
</file>