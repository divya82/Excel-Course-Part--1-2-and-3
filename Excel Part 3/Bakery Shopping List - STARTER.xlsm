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WORK\Excel part 3\YVD7m1i2TFmQ-5tYtqxZNg_29bdb28c322045ca865d5ff1893e7465_Course-Files (1)\Course Files\"/>
    </mc:Choice>
  </mc:AlternateContent>
  <xr:revisionPtr revIDLastSave="0" documentId="13_ncr:1_{9D452DB5-EF2E-4D86-9BED-9AE7B9B2F36D}" xr6:coauthVersionLast="47" xr6:coauthVersionMax="47" xr10:uidLastSave="{00000000-0000-0000-0000-000000000000}"/>
  <bookViews>
    <workbookView xWindow="-120" yWindow="-120" windowWidth="20730" windowHeight="11160" xr2:uid="{96076FC3-5A33-418F-8454-49C82953ECC2}"/>
  </bookViews>
  <sheets>
    <sheet name="Sheet1" sheetId="1" r:id="rId1"/>
    <sheet name="Original data" sheetId="2" r:id="rId2"/>
  </sheets>
  <definedNames>
    <definedName name="Ingredient">Sheet1!$E$18</definedName>
    <definedName name="Name">Sheet1!$E$17</definedName>
    <definedName name="Total">Sheet1!$E$20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6" i="1" l="1" a="1"/>
  <c r="M26" i="1" s="1"/>
  <c r="P14" i="1" a="1"/>
  <c r="P14" i="1" s="1"/>
  <c r="F20" i="1"/>
  <c r="E20" i="1" l="1" a="1"/>
  <c r="E20" i="1" s="1"/>
  <c r="M31" i="1" a="1"/>
  <c r="M31" i="1" s="1"/>
  <c r="L14" i="1"/>
  <c r="K14" i="1"/>
  <c r="J14" i="1"/>
  <c r="I14" i="1"/>
  <c r="H14" i="1"/>
  <c r="G14" i="1"/>
  <c r="F14" i="1"/>
  <c r="E14" i="1"/>
  <c r="D14" i="1"/>
  <c r="C14" i="1"/>
  <c r="L14" i="2" l="1"/>
  <c r="K14" i="2"/>
  <c r="J14" i="2"/>
  <c r="I14" i="2"/>
  <c r="H14" i="2"/>
  <c r="G14" i="2"/>
  <c r="F14" i="2"/>
  <c r="E14" i="2"/>
  <c r="D14" i="2"/>
  <c r="C1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<sst xmlns="http://schemas.openxmlformats.org/spreadsheetml/2006/main" count="96" uniqueCount="29">
  <si>
    <t>Flour</t>
  </si>
  <si>
    <t>Eggs</t>
  </si>
  <si>
    <t>Sugar</t>
  </si>
  <si>
    <t>Baking powder</t>
  </si>
  <si>
    <t>Baking soda</t>
  </si>
  <si>
    <t>cups</t>
  </si>
  <si>
    <t>tsp</t>
  </si>
  <si>
    <t>Salt</t>
  </si>
  <si>
    <t>Milk</t>
  </si>
  <si>
    <t>Butter</t>
  </si>
  <si>
    <t>Vanilla</t>
  </si>
  <si>
    <t>Shopping List</t>
  </si>
  <si>
    <t>Abby</t>
  </si>
  <si>
    <t>Bill</t>
  </si>
  <si>
    <t>Cathy</t>
  </si>
  <si>
    <t>Derek</t>
  </si>
  <si>
    <t>Emily</t>
  </si>
  <si>
    <t>Name</t>
  </si>
  <si>
    <t>Date</t>
  </si>
  <si>
    <t>Bananas</t>
  </si>
  <si>
    <t>Name:</t>
  </si>
  <si>
    <t>Ingredient:</t>
  </si>
  <si>
    <t>Total:</t>
  </si>
  <si>
    <t>Total</t>
  </si>
  <si>
    <t>(*Do NOT move the location of these cells!*)</t>
  </si>
  <si>
    <t>(*Do NOT rename Sheet1!*)</t>
  </si>
  <si>
    <t>*Cells E17, E18, and E20 have been named "Name", "Ingredient",</t>
  </si>
  <si>
    <t>and "Total", respectively.  Please do not delete nor change these names!</t>
  </si>
  <si>
    <t>Place any intermediate calculations ONLY in the space below (NOT in any of the rows above)!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</si>
</sst>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</borders>
  <cellStyleXfs count="1">
    <xf numFmtId="0" fontId="0" fillId="0" borderId="0"/>
  </cellStyleXfs>
  <cellXfs count="25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8" xfId="0" applyBorder="1"/>
    <xf numFmtId="0" fontId="0" fillId="2" borderId="7" xfId="0" applyFill="1" applyBorder="1"/>
    <xf numFmtId="0" fontId="1" fillId="3" borderId="1" xfId="0" applyFont="1" applyFill="1" applyBorder="1"/>
    <xf numFmtId="0" fontId="0" fillId="0" borderId="0" xfId="0" applyFill="1" applyBorder="1"/>
    <xf numFmtId="14" fontId="1" fillId="3" borderId="1" xfId="0" applyNumberFormat="1" applyFon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4" borderId="16" xfId="0" applyFont="1" applyFill="1" applyBorder="1"/>
    <xf numFmtId="0" fontId="0" fillId="0" borderId="16" xfId="0" applyFont="1" applyBorder="1"/>
    <xf numFmtId="0" fontId="1" fillId="0" borderId="17" xfId="0" applyFont="1" applyBorder="1"/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4"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485775</xdr:colOff>
          <xdr:row>19</xdr:row>
          <xdr:rowOff>95250</xdr:rowOff>
        </xdr:from>
        <xdr:to>
          <xdr:col>9</xdr:col>
          <xdr:colOff>219075</xdr:colOff>
          <xdr:row>21</xdr:row>
          <xdr:rowOff>152400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GRADE!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476CAB7-9AF6-468E-9A46-FCCCD593D622}" name="ShoppingTable" displayName="ShoppingTable" ref="A3:L14" totalsRowCount="1" headerRowDxfId="3">
  <autoFilter ref="A3:L13" xr:uid="{CCCF31C1-170B-4DD1-A589-9EA696C0FFEC}"/>
  <tableColumns count="12">
    <tableColumn id="1" xr3:uid="{2C315248-6FB8-46D5-AFE4-AA83025AF8B6}" name="Date" totalsRowLabel="Total" dataDxfId="2"/>
    <tableColumn id="2" xr3:uid="{1F34BDC9-2939-48A9-BDB6-4FEA6F3BB69E}" name="Name"/>
    <tableColumn id="3" xr3:uid="{DDD53D38-AC4F-4D78-A5C7-48267490F5F8}" name="Flour" totalsRowFunction="sum"/>
    <tableColumn id="4" xr3:uid="{C1117A95-932C-4458-9A1C-30A9898880EC}" name="Sugar" totalsRowFunction="sum"/>
    <tableColumn id="5" xr3:uid="{D697F212-29E0-4525-9146-8963AAEC88C1}" name="Baking powder" totalsRowFunction="sum"/>
    <tableColumn id="6" xr3:uid="{D916EBE4-B14E-48E0-B90B-856AC3805C47}" name="Baking soda" totalsRowFunction="sum"/>
    <tableColumn id="7" xr3:uid="{37FD537F-EAB0-4C63-8938-58CFF97546ED}" name="Salt" totalsRowFunction="sum"/>
    <tableColumn id="8" xr3:uid="{7B8E24EB-1B31-4E76-BE58-4F942A7C598D}" name="Milk" totalsRowFunction="sum"/>
    <tableColumn id="9" xr3:uid="{F501FE57-8DC8-4FDC-BA95-5D3D7DC4C1F6}" name="Butter" totalsRowFunction="sum"/>
    <tableColumn id="10" xr3:uid="{07F5B489-D65F-4374-83A7-C640F8F16F64}" name="Vanilla" totalsRowFunction="sum"/>
    <tableColumn id="11" xr3:uid="{26DFBD3B-65F4-437D-A9BF-E882C369FF8E}" name="Eggs" totalsRowFunction="sum"/>
    <tableColumn id="12" xr3:uid="{C826258F-03BC-4966-9DBB-1B74442E2428}" name="Bananas" totalsRowFunction="sum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421EFB4-D987-4775-A894-606F35BB9CB6}" name="Table25" displayName="Table25" ref="A3:L14" totalsRowCount="1" headerRowDxfId="1">
  <autoFilter ref="A3:L13" xr:uid="{C56BBCCE-6426-4C2D-96B5-55FE3A63CACC}"/>
  <tableColumns count="12">
    <tableColumn id="1" xr3:uid="{717E145C-65A4-49B6-A3B4-1B2E54B56EBB}" name="Date" totalsRowLabel="Total" dataDxfId="0"/>
    <tableColumn id="2" xr3:uid="{8217BBD5-4202-4AA7-BBB2-21C205E021E9}" name="Name"/>
    <tableColumn id="3" xr3:uid="{A5E63D06-A52A-4CB0-A0E7-7C4E65F9A169}" name="Flour" totalsRowFunction="sum"/>
    <tableColumn id="4" xr3:uid="{A1CFB42B-87E2-468B-AFF6-E0ECC9803261}" name="Sugar" totalsRowFunction="sum"/>
    <tableColumn id="5" xr3:uid="{35A3E810-4630-48FB-831F-10CAC4731195}" name="Baking powder" totalsRowFunction="sum"/>
    <tableColumn id="6" xr3:uid="{14B4AA4B-2A33-4FEF-B698-5E0E04C85A35}" name="Baking soda" totalsRowFunction="sum"/>
    <tableColumn id="7" xr3:uid="{FDAC7CD2-F6F0-493E-8C58-648A18F397D9}" name="Salt" totalsRowFunction="sum"/>
    <tableColumn id="8" xr3:uid="{C6D353C9-7714-4A86-A3F8-AF7C041EA4FC}" name="Milk" totalsRowFunction="sum"/>
    <tableColumn id="9" xr3:uid="{F3534045-7AF1-43AA-9D71-E2D6548727DA}" name="Butter" totalsRowFunction="sum"/>
    <tableColumn id="10" xr3:uid="{AD3EC610-D43C-4AF7-AB28-82794C4D6AD8}" name="Vanilla" totalsRowFunction="sum"/>
    <tableColumn id="11" xr3:uid="{BA23761D-16F1-4858-B935-56A1E1A19122}" name="Eggs" totalsRowFunction="sum"/>
    <tableColumn id="12" xr3:uid="{8A1FBBB6-0BD0-4046-A052-C10956ABF94B}" name="Bananas" totalsRowFunction="sum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B8902-5537-450F-B408-63106F47A7BF}">
  <sheetPr codeName="Sheet1"/>
  <dimension ref="A1:Y38"/>
  <sheetViews>
    <sheetView tabSelected="1" topLeftCell="A18" zoomScale="125" zoomScaleNormal="125" workbookViewId="0">
      <selection activeCell="E17" sqref="E17"/>
    </sheetView>
  </sheetViews>
  <sheetFormatPr defaultColWidth="9.140625" defaultRowHeight="15" x14ac:dyDescent="0.25"/>
  <cols>
    <col min="1" max="1" width="12.7109375" bestFit="1" customWidth="1"/>
    <col min="5" max="5" width="14.42578125" customWidth="1"/>
    <col min="6" max="6" width="12" customWidth="1"/>
  </cols>
  <sheetData>
    <row r="1" spans="1:25" x14ac:dyDescent="0.25">
      <c r="A1" s="2" t="s">
        <v>11</v>
      </c>
      <c r="N1" s="21" t="s">
        <v>12</v>
      </c>
    </row>
    <row r="2" spans="1:25" x14ac:dyDescent="0.25">
      <c r="C2" t="s">
        <v>5</v>
      </c>
      <c r="D2" t="s">
        <v>5</v>
      </c>
      <c r="E2" t="s">
        <v>6</v>
      </c>
      <c r="F2" t="s">
        <v>6</v>
      </c>
      <c r="G2" t="s">
        <v>6</v>
      </c>
      <c r="H2" t="s">
        <v>5</v>
      </c>
      <c r="I2" t="s">
        <v>5</v>
      </c>
      <c r="J2" t="s">
        <v>6</v>
      </c>
      <c r="N2" s="22" t="s">
        <v>13</v>
      </c>
    </row>
    <row r="3" spans="1:25" x14ac:dyDescent="0.25">
      <c r="A3" s="2" t="s">
        <v>18</v>
      </c>
      <c r="B3" s="2" t="s">
        <v>17</v>
      </c>
      <c r="C3" s="2" t="s">
        <v>0</v>
      </c>
      <c r="D3" s="2" t="s">
        <v>2</v>
      </c>
      <c r="E3" s="2" t="s">
        <v>3</v>
      </c>
      <c r="F3" s="2" t="s">
        <v>4</v>
      </c>
      <c r="G3" s="2" t="s">
        <v>7</v>
      </c>
      <c r="H3" s="2" t="s">
        <v>8</v>
      </c>
      <c r="I3" s="2" t="s">
        <v>9</v>
      </c>
      <c r="J3" s="2" t="s">
        <v>10</v>
      </c>
      <c r="K3" s="2" t="s">
        <v>1</v>
      </c>
      <c r="L3" s="2" t="s">
        <v>19</v>
      </c>
      <c r="N3" s="21" t="s">
        <v>14</v>
      </c>
    </row>
    <row r="4" spans="1:25" x14ac:dyDescent="0.25">
      <c r="A4" s="1">
        <v>43923</v>
      </c>
      <c r="B4" t="s">
        <v>12</v>
      </c>
      <c r="C4">
        <v>2</v>
      </c>
      <c r="D4">
        <v>0.25</v>
      </c>
      <c r="E4">
        <v>4</v>
      </c>
      <c r="F4">
        <v>0.25</v>
      </c>
      <c r="G4">
        <v>0.5</v>
      </c>
      <c r="H4">
        <v>1.5</v>
      </c>
      <c r="I4">
        <v>0.25</v>
      </c>
      <c r="J4">
        <v>2</v>
      </c>
      <c r="K4">
        <v>1</v>
      </c>
      <c r="L4">
        <v>0</v>
      </c>
      <c r="N4" s="22" t="s">
        <v>15</v>
      </c>
    </row>
    <row r="5" spans="1:25" x14ac:dyDescent="0.25">
      <c r="A5" s="1">
        <v>43923</v>
      </c>
      <c r="B5" t="s">
        <v>13</v>
      </c>
      <c r="C5">
        <v>5</v>
      </c>
      <c r="D5">
        <v>2</v>
      </c>
      <c r="E5">
        <v>1</v>
      </c>
      <c r="F5">
        <v>1</v>
      </c>
      <c r="G5">
        <v>1.5</v>
      </c>
      <c r="H5">
        <v>5</v>
      </c>
      <c r="I5">
        <v>1.5</v>
      </c>
      <c r="J5">
        <v>3</v>
      </c>
      <c r="K5">
        <v>12</v>
      </c>
      <c r="L5">
        <v>2</v>
      </c>
      <c r="N5" s="22" t="s">
        <v>12</v>
      </c>
    </row>
    <row r="6" spans="1:25" x14ac:dyDescent="0.25">
      <c r="A6" s="1">
        <v>43925</v>
      </c>
      <c r="B6" t="s">
        <v>14</v>
      </c>
      <c r="C6">
        <v>3</v>
      </c>
      <c r="D6">
        <v>0.75</v>
      </c>
      <c r="E6">
        <v>2</v>
      </c>
      <c r="F6">
        <v>0.5</v>
      </c>
      <c r="G6">
        <v>0.5</v>
      </c>
      <c r="H6">
        <v>2</v>
      </c>
      <c r="I6">
        <v>1</v>
      </c>
      <c r="J6">
        <v>1.5</v>
      </c>
      <c r="K6">
        <v>4</v>
      </c>
      <c r="L6">
        <v>0</v>
      </c>
      <c r="N6" s="21" t="s">
        <v>16</v>
      </c>
    </row>
    <row r="7" spans="1:25" x14ac:dyDescent="0.25">
      <c r="A7" s="1">
        <v>43926</v>
      </c>
      <c r="B7" t="s">
        <v>15</v>
      </c>
      <c r="C7">
        <v>11.25</v>
      </c>
      <c r="D7">
        <v>3.75</v>
      </c>
      <c r="E7">
        <v>0</v>
      </c>
      <c r="F7">
        <v>0</v>
      </c>
      <c r="G7">
        <v>2.5</v>
      </c>
      <c r="H7">
        <v>0</v>
      </c>
      <c r="I7">
        <v>5</v>
      </c>
      <c r="J7">
        <v>5</v>
      </c>
      <c r="K7">
        <v>5</v>
      </c>
      <c r="L7">
        <v>0</v>
      </c>
    </row>
    <row r="8" spans="1:25" x14ac:dyDescent="0.25">
      <c r="A8" s="1">
        <v>43927</v>
      </c>
      <c r="B8" t="s">
        <v>13</v>
      </c>
      <c r="C8">
        <v>6.5</v>
      </c>
      <c r="D8">
        <v>0.25</v>
      </c>
      <c r="E8">
        <v>0</v>
      </c>
      <c r="F8">
        <v>0</v>
      </c>
      <c r="G8">
        <v>0</v>
      </c>
      <c r="H8">
        <v>0</v>
      </c>
      <c r="I8">
        <v>0.5</v>
      </c>
      <c r="J8">
        <v>0</v>
      </c>
      <c r="K8">
        <v>0</v>
      </c>
      <c r="L8">
        <v>1</v>
      </c>
    </row>
    <row r="9" spans="1:25" x14ac:dyDescent="0.25">
      <c r="A9" s="1">
        <v>43927</v>
      </c>
      <c r="B9" t="s">
        <v>12</v>
      </c>
      <c r="C9">
        <v>4</v>
      </c>
      <c r="D9">
        <v>0.5</v>
      </c>
      <c r="E9">
        <v>8</v>
      </c>
      <c r="F9">
        <v>0.5</v>
      </c>
      <c r="G9">
        <v>1</v>
      </c>
      <c r="H9">
        <v>3</v>
      </c>
      <c r="I9">
        <v>0.5</v>
      </c>
      <c r="J9">
        <v>4</v>
      </c>
      <c r="K9">
        <v>2</v>
      </c>
      <c r="L9">
        <v>0</v>
      </c>
    </row>
    <row r="10" spans="1:25" x14ac:dyDescent="0.25">
      <c r="A10" s="1">
        <v>43928</v>
      </c>
      <c r="B10" t="s">
        <v>16</v>
      </c>
      <c r="C10">
        <v>2</v>
      </c>
      <c r="D10">
        <v>1</v>
      </c>
      <c r="E10">
        <v>0.25</v>
      </c>
      <c r="F10">
        <v>0.5</v>
      </c>
      <c r="G10">
        <v>1.5</v>
      </c>
      <c r="H10">
        <v>2</v>
      </c>
      <c r="I10">
        <v>1.5</v>
      </c>
      <c r="J10">
        <v>2</v>
      </c>
      <c r="K10">
        <v>3</v>
      </c>
      <c r="L10">
        <v>1</v>
      </c>
    </row>
    <row r="11" spans="1:25" x14ac:dyDescent="0.25">
      <c r="A11" s="1">
        <v>43930</v>
      </c>
      <c r="B11" t="s">
        <v>12</v>
      </c>
      <c r="C11">
        <v>6.75</v>
      </c>
      <c r="D11">
        <v>2.25</v>
      </c>
      <c r="E11">
        <v>0</v>
      </c>
      <c r="F11">
        <v>0</v>
      </c>
      <c r="G11">
        <v>1.5</v>
      </c>
      <c r="H11">
        <v>0</v>
      </c>
      <c r="I11">
        <v>3</v>
      </c>
      <c r="J11">
        <v>3</v>
      </c>
      <c r="K11">
        <v>3</v>
      </c>
      <c r="L11">
        <v>0</v>
      </c>
    </row>
    <row r="12" spans="1:25" x14ac:dyDescent="0.25">
      <c r="A12" s="1">
        <v>43932</v>
      </c>
      <c r="B12" t="s">
        <v>15</v>
      </c>
      <c r="C12">
        <v>0</v>
      </c>
      <c r="D12">
        <v>2</v>
      </c>
      <c r="E12">
        <v>0.5</v>
      </c>
      <c r="F12">
        <v>0.25</v>
      </c>
      <c r="G12">
        <v>0.25</v>
      </c>
      <c r="H12">
        <v>0.5</v>
      </c>
      <c r="I12">
        <v>2</v>
      </c>
      <c r="J12">
        <v>1</v>
      </c>
      <c r="K12">
        <v>1</v>
      </c>
      <c r="L12">
        <v>0</v>
      </c>
    </row>
    <row r="13" spans="1:25" x14ac:dyDescent="0.25">
      <c r="A13" s="1">
        <v>43932</v>
      </c>
      <c r="B13" t="s">
        <v>14</v>
      </c>
      <c r="C13">
        <v>8</v>
      </c>
      <c r="D13">
        <v>3</v>
      </c>
      <c r="E13">
        <v>1</v>
      </c>
      <c r="F13">
        <v>1.5</v>
      </c>
      <c r="G13">
        <v>0.75</v>
      </c>
      <c r="H13">
        <v>2.5</v>
      </c>
      <c r="I13">
        <v>3</v>
      </c>
      <c r="J13">
        <v>1.5</v>
      </c>
      <c r="K13">
        <v>2</v>
      </c>
      <c r="L13">
        <v>1.5</v>
      </c>
    </row>
    <row r="14" spans="1:25" x14ac:dyDescent="0.25">
      <c r="A14" t="s">
        <v>23</v>
      </c>
      <c r="C14">
        <f>SUBTOTAL(109,ShoppingTable[Flour])</f>
        <v>48.5</v>
      </c>
      <c r="D14">
        <f>SUBTOTAL(109,ShoppingTable[Sugar])</f>
        <v>15.75</v>
      </c>
      <c r="E14">
        <f>SUBTOTAL(109,ShoppingTable[Baking powder])</f>
        <v>16.75</v>
      </c>
      <c r="F14">
        <f>SUBTOTAL(109,ShoppingTable[Baking soda])</f>
        <v>4.5</v>
      </c>
      <c r="G14">
        <f>SUBTOTAL(109,ShoppingTable[Salt])</f>
        <v>10</v>
      </c>
      <c r="H14">
        <f>SUBTOTAL(109,ShoppingTable[Milk])</f>
        <v>16.5</v>
      </c>
      <c r="I14">
        <f>SUBTOTAL(109,ShoppingTable[Butter])</f>
        <v>18.25</v>
      </c>
      <c r="J14">
        <f>SUBTOTAL(109,ShoppingTable[Vanilla])</f>
        <v>23</v>
      </c>
      <c r="K14">
        <f>SUBTOTAL(109,ShoppingTable[Eggs])</f>
        <v>33</v>
      </c>
      <c r="L14">
        <f>SUBTOTAL(109,ShoppingTable[Bananas])</f>
        <v>5.5</v>
      </c>
      <c r="P14" t="e" cm="1">
        <f t="array" aca="1" ref="P14:Y16" ca="1">OFFSET(ShoppingTable[Name],_xlfn._xlws.FILTER(ShoppingTable[[Flour]:[Bananas]],ShoppingTable[Name]=Name,1),MATCH(Ingredient,ShoppingTable[[#Headers],[Flour]:[Bananas]],0),1,1)</f>
        <v>#VALUE!</v>
      </c>
      <c r="Q14" t="e">
        <f ca="1"/>
        <v>#VALUE!</v>
      </c>
      <c r="R14" t="e">
        <f ca="1"/>
        <v>#VALUE!</v>
      </c>
      <c r="S14" t="e">
        <f ca="1"/>
        <v>#VALUE!</v>
      </c>
      <c r="T14" t="e">
        <f ca="1"/>
        <v>#VALUE!</v>
      </c>
      <c r="U14" t="e">
        <f ca="1"/>
        <v>#VALUE!</v>
      </c>
      <c r="V14" t="e">
        <f ca="1"/>
        <v>#VALUE!</v>
      </c>
      <c r="W14" t="e">
        <f ca="1"/>
        <v>#VALUE!</v>
      </c>
      <c r="X14" t="e">
        <f ca="1"/>
        <v>#VALUE!</v>
      </c>
      <c r="Y14" t="e">
        <f ca="1"/>
        <v>#VALUE!</v>
      </c>
    </row>
    <row r="15" spans="1:25" x14ac:dyDescent="0.25">
      <c r="P15" t="e">
        <f ca="1"/>
        <v>#VALUE!</v>
      </c>
      <c r="Q15" t="e">
        <f ca="1"/>
        <v>#VALUE!</v>
      </c>
      <c r="R15" t="e">
        <f ca="1"/>
        <v>#VALUE!</v>
      </c>
      <c r="S15" t="e">
        <f ca="1"/>
        <v>#VALUE!</v>
      </c>
      <c r="T15" t="e">
        <f ca="1"/>
        <v>#VALUE!</v>
      </c>
      <c r="U15" t="e">
        <f ca="1"/>
        <v>#VALUE!</v>
      </c>
      <c r="V15" t="e">
        <f ca="1"/>
        <v>#VALUE!</v>
      </c>
      <c r="W15" t="e">
        <f ca="1"/>
        <v>#VALUE!</v>
      </c>
      <c r="X15" t="e">
        <f ca="1"/>
        <v>#VALUE!</v>
      </c>
      <c r="Y15" t="e">
        <f ca="1"/>
        <v>#VALUE!</v>
      </c>
    </row>
    <row r="16" spans="1:25" ht="15.75" thickBot="1" x14ac:dyDescent="0.3">
      <c r="P16" t="e">
        <f ca="1"/>
        <v>#VALUE!</v>
      </c>
      <c r="Q16" t="e">
        <f ca="1"/>
        <v>#VALUE!</v>
      </c>
      <c r="R16" t="e">
        <f ca="1"/>
        <v>#VALUE!</v>
      </c>
      <c r="S16" t="e">
        <f ca="1"/>
        <v>#VALUE!</v>
      </c>
      <c r="T16" t="e">
        <f ca="1"/>
        <v>#VALUE!</v>
      </c>
      <c r="U16" t="e">
        <f ca="1"/>
        <v>#VALUE!</v>
      </c>
      <c r="V16" t="e">
        <f ca="1"/>
        <v>#VALUE!</v>
      </c>
      <c r="W16" t="e">
        <f ca="1"/>
        <v>#VALUE!</v>
      </c>
      <c r="X16" t="e">
        <f ca="1"/>
        <v>#VALUE!</v>
      </c>
      <c r="Y16" t="e">
        <f ca="1"/>
        <v>#VALUE!</v>
      </c>
    </row>
    <row r="17" spans="1:23" ht="15.75" thickBot="1" x14ac:dyDescent="0.3">
      <c r="D17" s="15" t="s">
        <v>20</v>
      </c>
      <c r="E17" s="13" t="s">
        <v>12</v>
      </c>
      <c r="F17" s="16"/>
      <c r="H17" t="s">
        <v>26</v>
      </c>
    </row>
    <row r="18" spans="1:23" ht="15.75" thickBot="1" x14ac:dyDescent="0.3">
      <c r="D18" s="17" t="s">
        <v>21</v>
      </c>
      <c r="E18" s="13" t="s">
        <v>8</v>
      </c>
      <c r="F18" s="18"/>
      <c r="H18" t="s">
        <v>27</v>
      </c>
    </row>
    <row r="19" spans="1:23" ht="15.75" thickBot="1" x14ac:dyDescent="0.3">
      <c r="D19" s="17"/>
      <c r="E19" s="7"/>
      <c r="F19" s="18"/>
    </row>
    <row r="20" spans="1:23" ht="15.75" thickBot="1" x14ac:dyDescent="0.3">
      <c r="D20" s="19" t="s">
        <v>22</v>
      </c>
      <c r="E20" s="24" cm="1">
        <f t="array" ref="E20">SUM(_xlfn._xlws.FILTER(_xlfn.ANCHORARRAY(M26),ShoppingTable[[#Headers],[Name]:[Bananas]]=Ingredient,1))</f>
        <v>4.5</v>
      </c>
      <c r="F20" s="20" t="str">
        <f>IF(INDEX(C2:L2,MATCH(E18,C3:L3,0))=0,"",INDEX(C2:L2,MATCH(E18,C3:L3,0)))</f>
        <v>cups</v>
      </c>
    </row>
    <row r="21" spans="1:23" x14ac:dyDescent="0.25">
      <c r="D21" s="12" t="s">
        <v>24</v>
      </c>
    </row>
    <row r="22" spans="1:23" x14ac:dyDescent="0.25">
      <c r="D22" s="12" t="s">
        <v>25</v>
      </c>
    </row>
    <row r="24" spans="1:23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</row>
    <row r="25" spans="1:23" ht="15.75" thickBot="1" x14ac:dyDescent="0.3">
      <c r="A25" s="14" t="s">
        <v>28</v>
      </c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23" t="s">
        <v>17</v>
      </c>
      <c r="N25" s="23" t="s">
        <v>0</v>
      </c>
      <c r="O25" s="23" t="s">
        <v>2</v>
      </c>
      <c r="P25" s="23" t="s">
        <v>3</v>
      </c>
      <c r="Q25" s="23" t="s">
        <v>4</v>
      </c>
      <c r="R25" s="23" t="s">
        <v>7</v>
      </c>
      <c r="S25" s="23" t="s">
        <v>8</v>
      </c>
      <c r="T25" s="23" t="s">
        <v>9</v>
      </c>
      <c r="U25" s="23" t="s">
        <v>10</v>
      </c>
      <c r="V25" s="23" t="s">
        <v>1</v>
      </c>
      <c r="W25" s="23" t="s">
        <v>19</v>
      </c>
    </row>
    <row r="26" spans="1:23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t="str" cm="1">
        <f t="array" ref="M26:W28">_xlfn._xlws.FILTER(ShoppingTable[[Name]:[Bananas]],ShoppingTable[Name]=Name,1)</f>
        <v>Abby</v>
      </c>
      <c r="N26">
        <v>2</v>
      </c>
      <c r="O26">
        <v>0.25</v>
      </c>
      <c r="P26">
        <v>4</v>
      </c>
      <c r="Q26">
        <v>0.25</v>
      </c>
      <c r="R26">
        <v>0.5</v>
      </c>
      <c r="S26">
        <v>1.5</v>
      </c>
      <c r="T26">
        <v>0.25</v>
      </c>
      <c r="U26">
        <v>2</v>
      </c>
      <c r="V26">
        <v>1</v>
      </c>
      <c r="W26">
        <v>0</v>
      </c>
    </row>
    <row r="27" spans="1:23" x14ac:dyDescent="0.25">
      <c r="A27" s="7"/>
      <c r="B27" s="7"/>
      <c r="C27" s="7"/>
      <c r="D27" s="12"/>
      <c r="E27" s="7"/>
      <c r="F27" s="7"/>
      <c r="G27" s="7"/>
      <c r="H27" s="7"/>
      <c r="I27" s="7"/>
      <c r="J27" s="7"/>
      <c r="K27" s="7"/>
      <c r="L27" s="7"/>
      <c r="M27" t="str">
        <v>Abby</v>
      </c>
      <c r="N27">
        <v>4</v>
      </c>
      <c r="O27">
        <v>0.5</v>
      </c>
      <c r="P27">
        <v>8</v>
      </c>
      <c r="Q27">
        <v>0.5</v>
      </c>
      <c r="R27">
        <v>1</v>
      </c>
      <c r="S27">
        <v>3</v>
      </c>
      <c r="T27">
        <v>0.5</v>
      </c>
      <c r="U27">
        <v>4</v>
      </c>
      <c r="V27">
        <v>2</v>
      </c>
      <c r="W27">
        <v>0</v>
      </c>
    </row>
    <row r="28" spans="1:23" s="7" customFormat="1" x14ac:dyDescent="0.25">
      <c r="M28" s="7" t="str">
        <v>Abby</v>
      </c>
      <c r="N28" s="7">
        <v>6.75</v>
      </c>
      <c r="O28" s="7">
        <v>2.25</v>
      </c>
      <c r="P28" s="7">
        <v>0</v>
      </c>
      <c r="Q28" s="7">
        <v>0</v>
      </c>
      <c r="R28" s="7">
        <v>1.5</v>
      </c>
      <c r="S28" s="7">
        <v>0</v>
      </c>
      <c r="T28" s="7">
        <v>3</v>
      </c>
      <c r="U28" s="7">
        <v>3</v>
      </c>
      <c r="V28" s="7">
        <v>3</v>
      </c>
      <c r="W28" s="7">
        <v>0</v>
      </c>
    </row>
    <row r="29" spans="1:23" s="7" customFormat="1" x14ac:dyDescent="0.25"/>
    <row r="30" spans="1:23" s="7" customFormat="1" x14ac:dyDescent="0.25"/>
    <row r="31" spans="1:23" s="7" customFormat="1" x14ac:dyDescent="0.25">
      <c r="M31" s="7" cm="1">
        <f t="array" ref="M31">SUM(_xlfn._xlws.FILTER(_xlfn.ANCHORARRAY(M26),M25:W25=Ingredient,1))</f>
        <v>4.5</v>
      </c>
    </row>
    <row r="32" spans="1:23" s="7" customFormat="1" x14ac:dyDescent="0.25"/>
    <row r="33" spans="1:12" s="7" customFormat="1" x14ac:dyDescent="0.25">
      <c r="A33"/>
      <c r="B33"/>
      <c r="C33"/>
      <c r="D33"/>
      <c r="E33"/>
      <c r="F33"/>
      <c r="G33"/>
      <c r="H33"/>
      <c r="I33"/>
      <c r="J33"/>
      <c r="K33"/>
      <c r="L33"/>
    </row>
    <row r="34" spans="1:12" s="7" customFormat="1" x14ac:dyDescent="0.25">
      <c r="A34"/>
      <c r="B34"/>
      <c r="C34"/>
      <c r="D34"/>
      <c r="E34"/>
      <c r="F34"/>
      <c r="G34"/>
      <c r="H34"/>
      <c r="I34"/>
      <c r="J34"/>
      <c r="K34"/>
      <c r="L34"/>
    </row>
    <row r="35" spans="1:12" s="7" customFormat="1" x14ac:dyDescent="0.25">
      <c r="A35"/>
      <c r="B35"/>
      <c r="C35"/>
      <c r="D35"/>
      <c r="E35"/>
      <c r="F35"/>
      <c r="G35"/>
      <c r="H35"/>
      <c r="I35"/>
      <c r="J35"/>
      <c r="K35"/>
      <c r="L35"/>
    </row>
    <row r="36" spans="1:12" s="7" customFormat="1" x14ac:dyDescent="0.25">
      <c r="A36"/>
      <c r="B36"/>
      <c r="C36"/>
      <c r="D36"/>
      <c r="E36"/>
      <c r="F36"/>
      <c r="G36"/>
      <c r="H36"/>
      <c r="I36"/>
      <c r="J36"/>
      <c r="K36"/>
      <c r="L36"/>
    </row>
    <row r="37" spans="1:12" s="7" customFormat="1" x14ac:dyDescent="0.25">
      <c r="A37"/>
      <c r="B37"/>
      <c r="C37"/>
      <c r="D37"/>
      <c r="E37"/>
      <c r="F37"/>
      <c r="G37"/>
      <c r="H37"/>
      <c r="I37"/>
      <c r="J37"/>
      <c r="K37"/>
      <c r="L37"/>
    </row>
    <row r="38" spans="1:12" s="7" customFormat="1" x14ac:dyDescent="0.25">
      <c r="A38"/>
      <c r="B38"/>
      <c r="C38"/>
      <c r="D38"/>
      <c r="E38"/>
      <c r="F38"/>
      <c r="G38"/>
      <c r="H38"/>
      <c r="I38"/>
      <c r="J38"/>
      <c r="K38"/>
      <c r="L38"/>
    </row>
  </sheetData>
  <dataConsolidate/>
  <dataValidations count="2">
    <dataValidation type="list" allowBlank="1" showInputMessage="1" showErrorMessage="1" sqref="E17" xr:uid="{72961E8D-37C3-4359-9080-9BC4059BE16B}">
      <formula1>$N$1:$N$6</formula1>
    </dataValidation>
    <dataValidation type="list" allowBlank="1" showInputMessage="1" showErrorMessage="1" sqref="E18" xr:uid="{5D7EB7B5-DDD5-45D2-9FA5-15E5268DE5E8}">
      <formula1>$C$3:$L$3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1" r:id="rId4" name="Button 67">
              <controlPr defaultSize="0" print="0" autoFill="0" autoPict="0" macro="[0]!Grade">
                <anchor moveWithCells="1" sizeWithCells="1">
                  <from>
                    <xdr:col>7</xdr:col>
                    <xdr:colOff>485775</xdr:colOff>
                    <xdr:row>19</xdr:row>
                    <xdr:rowOff>95250</xdr:rowOff>
                  </from>
                  <to>
                    <xdr:col>9</xdr:col>
                    <xdr:colOff>219075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CAB83-3723-4C7A-8B7E-3509C7DABE20}">
  <sheetPr codeName="Sheet2"/>
  <dimension ref="A1:L23"/>
  <sheetViews>
    <sheetView workbookViewId="0">
      <selection activeCell="E20" sqref="E20"/>
    </sheetView>
  </sheetViews>
  <sheetFormatPr defaultColWidth="9.140625" defaultRowHeight="15" x14ac:dyDescent="0.25"/>
  <cols>
    <col min="1" max="1" width="12.7109375" bestFit="1" customWidth="1"/>
    <col min="5" max="5" width="14.42578125" customWidth="1"/>
    <col min="6" max="6" width="12" customWidth="1"/>
  </cols>
  <sheetData>
    <row r="1" spans="1:12" x14ac:dyDescent="0.25">
      <c r="A1" s="2" t="s">
        <v>11</v>
      </c>
    </row>
    <row r="2" spans="1:12" x14ac:dyDescent="0.25">
      <c r="C2" t="s">
        <v>5</v>
      </c>
      <c r="D2" t="s">
        <v>5</v>
      </c>
      <c r="E2" t="s">
        <v>6</v>
      </c>
      <c r="F2" t="s">
        <v>6</v>
      </c>
      <c r="G2" t="s">
        <v>6</v>
      </c>
      <c r="H2" t="s">
        <v>5</v>
      </c>
      <c r="I2" t="s">
        <v>5</v>
      </c>
      <c r="J2" t="s">
        <v>6</v>
      </c>
    </row>
    <row r="3" spans="1:12" x14ac:dyDescent="0.25">
      <c r="A3" s="2" t="s">
        <v>18</v>
      </c>
      <c r="B3" s="2" t="s">
        <v>17</v>
      </c>
      <c r="C3" s="2" t="s">
        <v>0</v>
      </c>
      <c r="D3" s="2" t="s">
        <v>2</v>
      </c>
      <c r="E3" s="2" t="s">
        <v>3</v>
      </c>
      <c r="F3" s="2" t="s">
        <v>4</v>
      </c>
      <c r="G3" s="2" t="s">
        <v>7</v>
      </c>
      <c r="H3" s="2" t="s">
        <v>8</v>
      </c>
      <c r="I3" s="2" t="s">
        <v>9</v>
      </c>
      <c r="J3" s="2" t="s">
        <v>10</v>
      </c>
      <c r="K3" s="2" t="s">
        <v>1</v>
      </c>
      <c r="L3" s="2" t="s">
        <v>19</v>
      </c>
    </row>
    <row r="4" spans="1:12" x14ac:dyDescent="0.25">
      <c r="A4" s="1">
        <v>43923</v>
      </c>
      <c r="B4" t="s">
        <v>12</v>
      </c>
      <c r="C4">
        <v>2</v>
      </c>
      <c r="D4">
        <v>0.25</v>
      </c>
      <c r="E4">
        <v>4</v>
      </c>
      <c r="F4">
        <v>0.25</v>
      </c>
      <c r="G4">
        <v>0.5</v>
      </c>
      <c r="H4">
        <v>1.5</v>
      </c>
      <c r="I4">
        <v>0.25</v>
      </c>
      <c r="J4">
        <v>2</v>
      </c>
      <c r="K4">
        <v>1</v>
      </c>
      <c r="L4">
        <v>0</v>
      </c>
    </row>
    <row r="5" spans="1:12" x14ac:dyDescent="0.25">
      <c r="A5" s="1">
        <v>43923</v>
      </c>
      <c r="B5" t="s">
        <v>13</v>
      </c>
      <c r="C5">
        <v>5</v>
      </c>
      <c r="D5">
        <v>2</v>
      </c>
      <c r="E5">
        <v>1</v>
      </c>
      <c r="F5">
        <v>1</v>
      </c>
      <c r="G5">
        <v>1.5</v>
      </c>
      <c r="H5">
        <v>5</v>
      </c>
      <c r="I5">
        <v>1.5</v>
      </c>
      <c r="J5">
        <v>3</v>
      </c>
      <c r="K5">
        <v>12</v>
      </c>
      <c r="L5">
        <v>2</v>
      </c>
    </row>
    <row r="6" spans="1:12" x14ac:dyDescent="0.25">
      <c r="A6" s="1">
        <v>43925</v>
      </c>
      <c r="B6" t="s">
        <v>14</v>
      </c>
      <c r="C6">
        <v>3</v>
      </c>
      <c r="D6">
        <v>0.75</v>
      </c>
      <c r="E6">
        <v>2</v>
      </c>
      <c r="F6">
        <v>0.5</v>
      </c>
      <c r="G6">
        <v>0.5</v>
      </c>
      <c r="H6">
        <v>2</v>
      </c>
      <c r="I6">
        <v>1</v>
      </c>
      <c r="J6">
        <v>1.5</v>
      </c>
      <c r="K6">
        <v>4</v>
      </c>
      <c r="L6">
        <v>0</v>
      </c>
    </row>
    <row r="7" spans="1:12" x14ac:dyDescent="0.25">
      <c r="A7" s="1">
        <v>43926</v>
      </c>
      <c r="B7" t="s">
        <v>15</v>
      </c>
      <c r="C7">
        <v>11.25</v>
      </c>
      <c r="D7">
        <v>3.75</v>
      </c>
      <c r="E7">
        <v>0</v>
      </c>
      <c r="F7">
        <v>0</v>
      </c>
      <c r="G7">
        <v>2.5</v>
      </c>
      <c r="H7">
        <v>0</v>
      </c>
      <c r="I7">
        <v>5</v>
      </c>
      <c r="J7">
        <v>5</v>
      </c>
      <c r="K7">
        <v>5</v>
      </c>
      <c r="L7">
        <v>0</v>
      </c>
    </row>
    <row r="8" spans="1:12" x14ac:dyDescent="0.25">
      <c r="A8" s="1">
        <v>43927</v>
      </c>
      <c r="B8" t="s">
        <v>13</v>
      </c>
      <c r="C8">
        <v>6.5</v>
      </c>
      <c r="D8">
        <v>0.25</v>
      </c>
      <c r="E8">
        <v>0</v>
      </c>
      <c r="F8">
        <v>0</v>
      </c>
      <c r="G8">
        <v>0</v>
      </c>
      <c r="H8">
        <v>0</v>
      </c>
      <c r="I8">
        <v>0.5</v>
      </c>
      <c r="J8">
        <v>0</v>
      </c>
      <c r="K8">
        <v>0</v>
      </c>
      <c r="L8">
        <v>1</v>
      </c>
    </row>
    <row r="9" spans="1:12" x14ac:dyDescent="0.25">
      <c r="A9" s="1">
        <v>43927</v>
      </c>
      <c r="B9" t="s">
        <v>12</v>
      </c>
      <c r="C9">
        <v>4</v>
      </c>
      <c r="D9">
        <v>0.5</v>
      </c>
      <c r="E9">
        <v>8</v>
      </c>
      <c r="F9">
        <v>0.5</v>
      </c>
      <c r="G9">
        <v>1</v>
      </c>
      <c r="H9">
        <v>3</v>
      </c>
      <c r="I9">
        <v>0.5</v>
      </c>
      <c r="J9">
        <v>4</v>
      </c>
      <c r="K9">
        <v>2</v>
      </c>
      <c r="L9">
        <v>0</v>
      </c>
    </row>
    <row r="10" spans="1:12" x14ac:dyDescent="0.25">
      <c r="A10" s="1">
        <v>43928</v>
      </c>
      <c r="B10" t="s">
        <v>16</v>
      </c>
      <c r="C10">
        <v>2</v>
      </c>
      <c r="D10">
        <v>1</v>
      </c>
      <c r="E10">
        <v>0.25</v>
      </c>
      <c r="F10">
        <v>0.5</v>
      </c>
      <c r="G10">
        <v>1.5</v>
      </c>
      <c r="H10">
        <v>2</v>
      </c>
      <c r="I10">
        <v>1.5</v>
      </c>
      <c r="J10">
        <v>2</v>
      </c>
      <c r="K10">
        <v>3</v>
      </c>
      <c r="L10">
        <v>1</v>
      </c>
    </row>
    <row r="11" spans="1:12" x14ac:dyDescent="0.25">
      <c r="A11" s="1">
        <v>43930</v>
      </c>
      <c r="B11" t="s">
        <v>12</v>
      </c>
      <c r="C11">
        <v>6.75</v>
      </c>
      <c r="D11">
        <v>2.25</v>
      </c>
      <c r="E11">
        <v>0</v>
      </c>
      <c r="F11">
        <v>0</v>
      </c>
      <c r="G11">
        <v>1.5</v>
      </c>
      <c r="H11">
        <v>0</v>
      </c>
      <c r="I11">
        <v>3</v>
      </c>
      <c r="J11">
        <v>3</v>
      </c>
      <c r="K11">
        <v>3</v>
      </c>
      <c r="L11">
        <v>0</v>
      </c>
    </row>
    <row r="12" spans="1:12" x14ac:dyDescent="0.25">
      <c r="A12" s="1">
        <v>43932</v>
      </c>
      <c r="B12" t="s">
        <v>15</v>
      </c>
      <c r="C12">
        <v>0</v>
      </c>
      <c r="D12">
        <v>2</v>
      </c>
      <c r="E12">
        <v>0.5</v>
      </c>
      <c r="F12">
        <v>0.25</v>
      </c>
      <c r="G12">
        <v>0.25</v>
      </c>
      <c r="H12">
        <v>0.5</v>
      </c>
      <c r="I12">
        <v>2</v>
      </c>
      <c r="J12">
        <v>1</v>
      </c>
      <c r="K12">
        <v>1</v>
      </c>
      <c r="L12">
        <v>0</v>
      </c>
    </row>
    <row r="13" spans="1:12" x14ac:dyDescent="0.25">
      <c r="A13" s="1">
        <v>43932</v>
      </c>
      <c r="B13" t="s">
        <v>14</v>
      </c>
      <c r="C13">
        <v>8</v>
      </c>
      <c r="D13">
        <v>3</v>
      </c>
      <c r="E13">
        <v>1</v>
      </c>
      <c r="F13">
        <v>1.5</v>
      </c>
      <c r="G13">
        <v>0.75</v>
      </c>
      <c r="H13">
        <v>2.5</v>
      </c>
      <c r="I13">
        <v>3</v>
      </c>
      <c r="J13">
        <v>1.5</v>
      </c>
      <c r="K13">
        <v>2</v>
      </c>
      <c r="L13">
        <v>1.5</v>
      </c>
    </row>
    <row r="14" spans="1:12" x14ac:dyDescent="0.25">
      <c r="A14" t="s">
        <v>23</v>
      </c>
      <c r="C14">
        <f>SUBTOTAL(109,Table25[Flour])</f>
        <v>48.5</v>
      </c>
      <c r="D14">
        <f>SUBTOTAL(109,Table25[Sugar])</f>
        <v>15.75</v>
      </c>
      <c r="E14">
        <f>SUBTOTAL(109,Table25[Baking powder])</f>
        <v>16.75</v>
      </c>
      <c r="F14">
        <f>SUBTOTAL(109,Table25[Baking soda])</f>
        <v>4.5</v>
      </c>
      <c r="G14">
        <f>SUBTOTAL(109,Table25[Salt])</f>
        <v>10</v>
      </c>
      <c r="H14">
        <f>SUBTOTAL(109,Table25[Milk])</f>
        <v>16.5</v>
      </c>
      <c r="I14">
        <f>SUBTOTAL(109,Table25[Butter])</f>
        <v>18.25</v>
      </c>
      <c r="J14">
        <f>SUBTOTAL(109,Table25[Vanilla])</f>
        <v>23</v>
      </c>
      <c r="K14">
        <f>SUBTOTAL(109,Table25[Eggs])</f>
        <v>33</v>
      </c>
      <c r="L14">
        <f>SUBTOTAL(109,Table25[Bananas])</f>
        <v>5.5</v>
      </c>
    </row>
    <row r="16" spans="1:12" ht="15.75" thickBot="1" x14ac:dyDescent="0.3"/>
    <row r="17" spans="4:6" ht="15.75" thickBot="1" x14ac:dyDescent="0.3">
      <c r="D17" s="3" t="s">
        <v>20</v>
      </c>
      <c r="E17" s="11"/>
      <c r="F17" s="4"/>
    </row>
    <row r="18" spans="4:6" ht="15.75" thickBot="1" x14ac:dyDescent="0.3">
      <c r="D18" s="5" t="s">
        <v>21</v>
      </c>
      <c r="E18" s="11"/>
      <c r="F18" s="6"/>
    </row>
    <row r="19" spans="4:6" ht="15.75" thickBot="1" x14ac:dyDescent="0.3">
      <c r="D19" s="5"/>
      <c r="E19" s="7"/>
      <c r="F19" s="6"/>
    </row>
    <row r="20" spans="4:6" x14ac:dyDescent="0.25">
      <c r="D20" s="8" t="s">
        <v>22</v>
      </c>
      <c r="E20" s="10"/>
      <c r="F20" s="9"/>
    </row>
    <row r="21" spans="4:6" x14ac:dyDescent="0.25">
      <c r="D21" s="12" t="s">
        <v>24</v>
      </c>
    </row>
    <row r="22" spans="4:6" x14ac:dyDescent="0.25">
      <c r="D22" s="12" t="s">
        <v>25</v>
      </c>
    </row>
    <row r="23" spans="4:6" x14ac:dyDescent="0.25">
      <c r="D23" s="12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Original data</vt:lpstr>
      <vt:lpstr>Ingredient</vt:lpstr>
      <vt:lpstr>Name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Divya Sharma</cp:lastModifiedBy>
  <dcterms:created xsi:type="dcterms:W3CDTF">2020-02-15T14:59:35Z</dcterms:created>
  <dcterms:modified xsi:type="dcterms:W3CDTF">2022-04-21T09:36:21Z</dcterms:modified>
</cp:coreProperties>
</file>