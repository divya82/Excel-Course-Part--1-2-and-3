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0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MY WORK\Excel part 3\YVD7m1i2TFmQ-5tYtqxZNg_29bdb28c322045ca865d5ff1893e7465_Course-Files (1)\Course Files\"/>
    </mc:Choice>
  </mc:AlternateContent>
  <xr:revisionPtr revIDLastSave="0" documentId="13_ncr:1_{5B6F1C00-7762-4FC4-AD22-1094406C4136}" xr6:coauthVersionLast="47" xr6:coauthVersionMax="47" xr10:uidLastSave="{00000000-0000-0000-0000-000000000000}"/>
  <bookViews>
    <workbookView xWindow="-120" yWindow="-120" windowWidth="20730" windowHeight="11160" activeTab="1" xr2:uid="{00000000-000D-0000-FFFF-FFFF00000000}"/>
  </bookViews>
  <sheets>
    <sheet name="Dashboard" sheetId="3" r:id="rId1"/>
    <sheet name="Data" sheetId="1" r:id="rId2"/>
  </sheets>
  <definedNames>
    <definedName name="a">Data!$H$13</definedName>
    <definedName name="ALABAMA">Data!$A$5:$A$19</definedName>
    <definedName name="ALASKA">Data!$A$22:$A$27</definedName>
    <definedName name="ARIZONA">Data!$A$30:$A$39</definedName>
    <definedName name="ARKANSAS">Data!$A$42:$A$51</definedName>
    <definedName name="b">Data!$H$14</definedName>
    <definedName name="c_">Data!$H$15</definedName>
    <definedName name="CALIFORNIA">Data!$A$54:$A$114</definedName>
    <definedName name="COLORADO">Data!$A$117:$A$129</definedName>
    <definedName name="CONNECTICUT">Data!$A$132:$A$139</definedName>
    <definedName name="DELAWARE">Data!$A$142:$A$143</definedName>
    <definedName name="DISTRICT_OF_COLUMBIA">Data!$A$146:$A$147</definedName>
    <definedName name="FLORIDA">Data!$A$150:$A$172</definedName>
    <definedName name="GEORGIA">Data!$A$175:$A$191</definedName>
    <definedName name="HAWAII">Data!$A$194:$A$197</definedName>
    <definedName name="IDAHO">Data!$A$200:$A$208</definedName>
    <definedName name="ILLINOIS">Data!$A$211:$A$237</definedName>
    <definedName name="INDIANA">Data!$A$240:$A$263</definedName>
    <definedName name="IOWA">Data!$A$266:$A$281</definedName>
    <definedName name="KANSAS">Data!$A$284:$A$299</definedName>
    <definedName name="KENTUCKY">Data!$A$302:$A$311</definedName>
    <definedName name="lat_1">Data!$J$7</definedName>
    <definedName name="lat_2">Data!$J$11</definedName>
    <definedName name="lon_1">Data!$K$7</definedName>
    <definedName name="lon_2">Data!$K$11</definedName>
    <definedName name="LOUISIANA">Data!$A$314:$A$324</definedName>
    <definedName name="MAINE">Data!$A$327:$A$333</definedName>
    <definedName name="MARYLAND">Data!$A$336:$A$341</definedName>
    <definedName name="MASSACHUSETTS">Data!$A$344:$A$356</definedName>
    <definedName name="MICHIGAN">Data!$A$359:$A$379</definedName>
    <definedName name="MINNESOTA">Data!$A$382:$A$396</definedName>
    <definedName name="MISSISSIPPI">Data!$A$399:$A$411</definedName>
    <definedName name="MISSOURI">Data!$A$414:$A$432</definedName>
    <definedName name="MONTANA">Data!$A$435:$A$448</definedName>
    <definedName name="NEBRASKA">Data!$A$451:$A$464</definedName>
    <definedName name="NEVADA">Data!$A$467:$A$475</definedName>
    <definedName name="NEW_HAMPSHIRE">Data!$A$478:$A$484</definedName>
    <definedName name="NEW_JERSEY">Data!$A$487:$A$494</definedName>
    <definedName name="NEW_MEXICO">Data!$A$497:$A$513</definedName>
    <definedName name="NEW_YORK">Data!$A$516:$A$550</definedName>
    <definedName name="NORTH_CAROLINA">Data!$A$553:$A$569</definedName>
    <definedName name="NORTH_DAKOTA">Data!$A$572:$A$579</definedName>
    <definedName name="OHIO">Data!$A$582:$A$611</definedName>
    <definedName name="OKLAHOMA">Data!$A$614:$A$629</definedName>
    <definedName name="OREGON">Data!$A$632:$A$646</definedName>
    <definedName name="PENNSYLVANIA">Data!$A$649:$A$670</definedName>
    <definedName name="RHODE_ISLAND">Data!$A$673:$A$674</definedName>
    <definedName name="SOUTH_CAROLINA">Data!$A$677:$A$688</definedName>
    <definedName name="SOUTH_DAKOTA">Data!$A$691:$A$699</definedName>
    <definedName name="TENNESSEE">Data!$A$702:$A$714</definedName>
    <definedName name="TEXAS">Data!$A$717:$A$765</definedName>
    <definedName name="UTAH">Data!$A$768:$A$777</definedName>
    <definedName name="VERMONT">Data!$A$780:$A$782</definedName>
    <definedName name="VIRGINIA">Data!$A$785:$A$795</definedName>
    <definedName name="WASHINGTON">Data!$A$798:$A$815</definedName>
    <definedName name="WEST_VIRGINIA">Data!$A$818:$A$827</definedName>
    <definedName name="WISCONSIN">Data!$A$830:$A$845</definedName>
    <definedName name="WYOMING">Data!$A$848:$A$858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6" i="1" l="1"/>
  <c r="H7" i="1"/>
  <c r="J7" i="1"/>
  <c r="K7" i="1"/>
  <c r="H11" i="1" l="1"/>
  <c r="H10" i="1"/>
  <c r="J11" i="1"/>
  <c r="K11" i="1"/>
  <c r="H13" i="1" l="1"/>
  <c r="H14" i="1"/>
  <c r="H15" i="1"/>
  <c r="H16" i="1" l="1"/>
  <c r="H17" i="1" l="1"/>
  <c r="B11" i="3" s="1"/>
</calcChain>
</file>

<file path=xl/sharedStrings.xml><?xml version="1.0" encoding="utf-8"?>
<sst xmlns="http://schemas.openxmlformats.org/spreadsheetml/2006/main" count="988" uniqueCount="771">
  <si>
    <t>Alexander City</t>
  </si>
  <si>
    <t>Auburn</t>
  </si>
  <si>
    <t>Decatur</t>
  </si>
  <si>
    <t>Gadsden</t>
  </si>
  <si>
    <t>Mobile Co</t>
  </si>
  <si>
    <t>Selma-Craig AFB</t>
  </si>
  <si>
    <t>Talladega</t>
  </si>
  <si>
    <t>LATITUDE</t>
  </si>
  <si>
    <t>LONGITUDE</t>
  </si>
  <si>
    <t>Kodiak</t>
  </si>
  <si>
    <t>ARIZONA</t>
  </si>
  <si>
    <t>Nogales</t>
  </si>
  <si>
    <t>ARKANSAS</t>
  </si>
  <si>
    <t>Blytheville AFB</t>
  </si>
  <si>
    <t>Camden</t>
  </si>
  <si>
    <t>Hot Springs</t>
  </si>
  <si>
    <t>Jonesboro</t>
  </si>
  <si>
    <t>CALIFORNIA</t>
  </si>
  <si>
    <t>Chico</t>
  </si>
  <si>
    <t>Concord</t>
  </si>
  <si>
    <t>Covina</t>
  </si>
  <si>
    <t>Downey</t>
  </si>
  <si>
    <t>El Cajon</t>
  </si>
  <si>
    <t>Escondido</t>
  </si>
  <si>
    <t>Fairfield-Trafis AFB</t>
  </si>
  <si>
    <t>Hamilton AFB</t>
  </si>
  <si>
    <t>Laguna Beach</t>
  </si>
  <si>
    <t>Livermore</t>
  </si>
  <si>
    <t>Lompoc, Vandenberg AFB</t>
  </si>
  <si>
    <t>Merced-Castle AFB</t>
  </si>
  <si>
    <t>Modesto</t>
  </si>
  <si>
    <t>Monterey</t>
  </si>
  <si>
    <t>Napa</t>
  </si>
  <si>
    <t>Oceanside</t>
  </si>
  <si>
    <t>Ontario</t>
  </si>
  <si>
    <t>Oxnard</t>
  </si>
  <si>
    <t>Palm Springs</t>
  </si>
  <si>
    <t>Pasadena</t>
  </si>
  <si>
    <t>Petaluma</t>
  </si>
  <si>
    <t>Pomona Co</t>
  </si>
  <si>
    <t>Redlands</t>
  </si>
  <si>
    <t>Richmond</t>
  </si>
  <si>
    <t>San Bernadino, Norton AFB</t>
  </si>
  <si>
    <t>San Fernando</t>
  </si>
  <si>
    <t>San Francisco Co</t>
  </si>
  <si>
    <t>San Louis Obispo</t>
  </si>
  <si>
    <t>Santa Cruz</t>
  </si>
  <si>
    <t>Santa Paula</t>
  </si>
  <si>
    <t>Santa Rosa</t>
  </si>
  <si>
    <t>Ukiah</t>
  </si>
  <si>
    <t>Visalia</t>
  </si>
  <si>
    <t>Yreka</t>
  </si>
  <si>
    <t>Yuba City</t>
  </si>
  <si>
    <t>COLORADO</t>
  </si>
  <si>
    <t>Boulder</t>
  </si>
  <si>
    <t>Durango</t>
  </si>
  <si>
    <t>Fort Collins</t>
  </si>
  <si>
    <t>Greeley</t>
  </si>
  <si>
    <t>Leadville</t>
  </si>
  <si>
    <t>Sterling</t>
  </si>
  <si>
    <t>Trinidad</t>
  </si>
  <si>
    <t>CONNECTICUT</t>
  </si>
  <si>
    <t>Hartford, Brainard Field</t>
  </si>
  <si>
    <t>New London</t>
  </si>
  <si>
    <t>Norwalk</t>
  </si>
  <si>
    <t>Norwick</t>
  </si>
  <si>
    <t>Waterbury</t>
  </si>
  <si>
    <t>Widsor Locks, Bradley Fld</t>
  </si>
  <si>
    <t>DELAWARE</t>
  </si>
  <si>
    <t>Dover AFB</t>
  </si>
  <si>
    <t>DISTRICT OF COLUMBIA</t>
  </si>
  <si>
    <t>Andrews AFB</t>
  </si>
  <si>
    <t>FLORIDA</t>
  </si>
  <si>
    <t>Belle Glade</t>
  </si>
  <si>
    <t>E Fort Lauderdale</t>
  </si>
  <si>
    <t>Fort Pierce</t>
  </si>
  <si>
    <t>Miami Beach Co</t>
  </si>
  <si>
    <t>Ocala</t>
  </si>
  <si>
    <t>Panama City, Tyndall AFB</t>
  </si>
  <si>
    <t>Pensacola Co</t>
  </si>
  <si>
    <t>St. Augustine</t>
  </si>
  <si>
    <t>St. Petersburg</t>
  </si>
  <si>
    <t>Stanford</t>
  </si>
  <si>
    <t>Sarasota</t>
  </si>
  <si>
    <t>GEORGIA</t>
  </si>
  <si>
    <t>Albany, Turner AFB</t>
  </si>
  <si>
    <t>Americus</t>
  </si>
  <si>
    <t>Athens</t>
  </si>
  <si>
    <t>Brunswick</t>
  </si>
  <si>
    <t>Columbus, Lawson AFB</t>
  </si>
  <si>
    <t>Dalton</t>
  </si>
  <si>
    <t>Dublin</t>
  </si>
  <si>
    <t>Gainsville</t>
  </si>
  <si>
    <t>Griffin</t>
  </si>
  <si>
    <t>LaGrange</t>
  </si>
  <si>
    <t>Marietta, Dobbins AFB</t>
  </si>
  <si>
    <t>Savannah</t>
  </si>
  <si>
    <t>Valdosta-Moody AFB</t>
  </si>
  <si>
    <t>Waycross</t>
  </si>
  <si>
    <t>HAWAII</t>
  </si>
  <si>
    <t>Kaneohe Bay MCAS</t>
  </si>
  <si>
    <t>Wahiawa</t>
  </si>
  <si>
    <t>IDAHO</t>
  </si>
  <si>
    <t>Burley</t>
  </si>
  <si>
    <t>Moscow</t>
  </si>
  <si>
    <t>Mountain Home AFB</t>
  </si>
  <si>
    <t>ILLINOIS</t>
  </si>
  <si>
    <t>Aurora</t>
  </si>
  <si>
    <t>Belleville, Scott AFB</t>
  </si>
  <si>
    <t>Bloomington</t>
  </si>
  <si>
    <t>Carbondale</t>
  </si>
  <si>
    <t>Champaign/Urbana</t>
  </si>
  <si>
    <t>Chicago Co</t>
  </si>
  <si>
    <t>Danville</t>
  </si>
  <si>
    <t>Dixon</t>
  </si>
  <si>
    <t>Elgin</t>
  </si>
  <si>
    <t>Freeport</t>
  </si>
  <si>
    <t>Galesburg</t>
  </si>
  <si>
    <t>Greenville</t>
  </si>
  <si>
    <t>Joliet</t>
  </si>
  <si>
    <t>Kankakee</t>
  </si>
  <si>
    <t>La Salle/Peru</t>
  </si>
  <si>
    <t>Macomb</t>
  </si>
  <si>
    <t>Mt Vernon</t>
  </si>
  <si>
    <t>Rantoul, Chanute AFB</t>
  </si>
  <si>
    <t>Rockford</t>
  </si>
  <si>
    <t>Waukegan</t>
  </si>
  <si>
    <t>INDIANA</t>
  </si>
  <si>
    <t>Anderson</t>
  </si>
  <si>
    <t>Bedford</t>
  </si>
  <si>
    <t>Columbus, Bakalar AFB</t>
  </si>
  <si>
    <t>Crawfordsville</t>
  </si>
  <si>
    <t>Hobart</t>
  </si>
  <si>
    <t>Huntington</t>
  </si>
  <si>
    <t>Jeffersonville</t>
  </si>
  <si>
    <t>Kokomo</t>
  </si>
  <si>
    <t>Lafayette</t>
  </si>
  <si>
    <t>La Porte</t>
  </si>
  <si>
    <t>Marion</t>
  </si>
  <si>
    <t>Muncie</t>
  </si>
  <si>
    <t>Peru, Grissom AFB</t>
  </si>
  <si>
    <t>Shelbyville</t>
  </si>
  <si>
    <t>Valparaiso</t>
  </si>
  <si>
    <t>Vincennes</t>
  </si>
  <si>
    <t>IOWA</t>
  </si>
  <si>
    <t>Clinton</t>
  </si>
  <si>
    <t>Council Bluffs</t>
  </si>
  <si>
    <t>Dubuque</t>
  </si>
  <si>
    <t>Fort Dodge</t>
  </si>
  <si>
    <t>Iowa City</t>
  </si>
  <si>
    <t>Keokuk</t>
  </si>
  <si>
    <t>Marshalltown</t>
  </si>
  <si>
    <t>Newton</t>
  </si>
  <si>
    <t>Waterloo</t>
  </si>
  <si>
    <t>KANSAS</t>
  </si>
  <si>
    <t>Atchison</t>
  </si>
  <si>
    <t>El Dorado</t>
  </si>
  <si>
    <t>Emporia</t>
  </si>
  <si>
    <t>Great Bend</t>
  </si>
  <si>
    <t>Liberal</t>
  </si>
  <si>
    <t>Parsons</t>
  </si>
  <si>
    <t>Salina</t>
  </si>
  <si>
    <t>KENTUCKY</t>
  </si>
  <si>
    <t>Ashland</t>
  </si>
  <si>
    <t>Hopkinsville, Ft Campbell</t>
  </si>
  <si>
    <t>Madisonville</t>
  </si>
  <si>
    <t>Owensboro</t>
  </si>
  <si>
    <t>LOUISIANA</t>
  </si>
  <si>
    <t>Bogalusa</t>
  </si>
  <si>
    <t>Houma</t>
  </si>
  <si>
    <t>Minden</t>
  </si>
  <si>
    <t>Natchitoches</t>
  </si>
  <si>
    <t>MAINE</t>
  </si>
  <si>
    <t>Bangor, Dow AFB</t>
  </si>
  <si>
    <t>Lewiston</t>
  </si>
  <si>
    <t>Waterville</t>
  </si>
  <si>
    <t>MARYLAND</t>
  </si>
  <si>
    <t>Baltimore Co</t>
  </si>
  <si>
    <t>Cumberland</t>
  </si>
  <si>
    <t>Hagerstown</t>
  </si>
  <si>
    <t>MASSACHUSETTS</t>
  </si>
  <si>
    <t>Fall River</t>
  </si>
  <si>
    <t>Framingham</t>
  </si>
  <si>
    <t>Gloucester</t>
  </si>
  <si>
    <t>Greenfield</t>
  </si>
  <si>
    <t>Lawrence</t>
  </si>
  <si>
    <t>Lowell</t>
  </si>
  <si>
    <t>New Bedford</t>
  </si>
  <si>
    <t>Springfield, Westover AFB</t>
  </si>
  <si>
    <t>Taunton</t>
  </si>
  <si>
    <t>MICHIGAN</t>
  </si>
  <si>
    <t>Adrian</t>
  </si>
  <si>
    <t>Detroit</t>
  </si>
  <si>
    <t>Escanaba</t>
  </si>
  <si>
    <t>Holland</t>
  </si>
  <si>
    <t>Kalamazoo</t>
  </si>
  <si>
    <t>Marquette Co</t>
  </si>
  <si>
    <t>Mt Pleasant</t>
  </si>
  <si>
    <t>Pontiac</t>
  </si>
  <si>
    <t>Port Huron</t>
  </si>
  <si>
    <t>Ypsilanti</t>
  </si>
  <si>
    <t>MINNESOTA</t>
  </si>
  <si>
    <t>Albert Lea</t>
  </si>
  <si>
    <t>Brainerd</t>
  </si>
  <si>
    <t>Fairbault</t>
  </si>
  <si>
    <t>Fergus Falls</t>
  </si>
  <si>
    <t>Mankato</t>
  </si>
  <si>
    <t>Virginia</t>
  </si>
  <si>
    <t>Willmar</t>
  </si>
  <si>
    <t>Winona</t>
  </si>
  <si>
    <t>MISSISSIPPI</t>
  </si>
  <si>
    <t>Biloxi--Keesler AFB</t>
  </si>
  <si>
    <t>Clarksdale</t>
  </si>
  <si>
    <t>Columbus AFB</t>
  </si>
  <si>
    <t>Greenville AFB</t>
  </si>
  <si>
    <t>Greenwood</t>
  </si>
  <si>
    <t>Hattiesburg</t>
  </si>
  <si>
    <t>Laurel</t>
  </si>
  <si>
    <t>Natchez</t>
  </si>
  <si>
    <t>Tupelo</t>
  </si>
  <si>
    <t>Vicksburg Co</t>
  </si>
  <si>
    <t>MISSOURI</t>
  </si>
  <si>
    <t>Cape Girardeau</t>
  </si>
  <si>
    <t>Hannibal</t>
  </si>
  <si>
    <t>Jefferson City</t>
  </si>
  <si>
    <t>Mexico</t>
  </si>
  <si>
    <t>Moberly</t>
  </si>
  <si>
    <t>Poplar Bluff</t>
  </si>
  <si>
    <t>Rolla</t>
  </si>
  <si>
    <t>St. Louis CO</t>
  </si>
  <si>
    <t>Sikeston</t>
  </si>
  <si>
    <t>Sedalia--Whiteman AFB</t>
  </si>
  <si>
    <t>MONTANA</t>
  </si>
  <si>
    <t>Bozeman</t>
  </si>
  <si>
    <t>Glendive</t>
  </si>
  <si>
    <t>Havre</t>
  </si>
  <si>
    <t>NEBRASKA</t>
  </si>
  <si>
    <t>Beatrice</t>
  </si>
  <si>
    <t>Columbus</t>
  </si>
  <si>
    <t>Fremont</t>
  </si>
  <si>
    <t>Hastings</t>
  </si>
  <si>
    <t>Kearney</t>
  </si>
  <si>
    <t>McCook</t>
  </si>
  <si>
    <t>Norfolk</t>
  </si>
  <si>
    <t>NEVADA</t>
  </si>
  <si>
    <t>Carson City</t>
  </si>
  <si>
    <t>Reno Co</t>
  </si>
  <si>
    <t>NEW HAMPSHIRE</t>
  </si>
  <si>
    <t>Berlin</t>
  </si>
  <si>
    <t>Claremont</t>
  </si>
  <si>
    <t>Keene</t>
  </si>
  <si>
    <t>Laconia</t>
  </si>
  <si>
    <t>Manchester, Grenier AFB</t>
  </si>
  <si>
    <t>Portsmouth, Pease AFB</t>
  </si>
  <si>
    <t>NEW JERSEY</t>
  </si>
  <si>
    <t>Atlantic City CO</t>
  </si>
  <si>
    <t>Long Branch</t>
  </si>
  <si>
    <t>New Brunswick</t>
  </si>
  <si>
    <t>Paterson</t>
  </si>
  <si>
    <t>Phillipsburg</t>
  </si>
  <si>
    <t>Trenton Co</t>
  </si>
  <si>
    <t>Vineland</t>
  </si>
  <si>
    <t>NEW MEXICO</t>
  </si>
  <si>
    <t>Holloman AFB</t>
  </si>
  <si>
    <t>Artesia</t>
  </si>
  <si>
    <t>Gallup</t>
  </si>
  <si>
    <t>Grants</t>
  </si>
  <si>
    <t>Las Cruces</t>
  </si>
  <si>
    <t>Los Alamos</t>
  </si>
  <si>
    <t>Roswell, Walker AFB</t>
  </si>
  <si>
    <t>Santa Fe CO</t>
  </si>
  <si>
    <t>NEW YORK</t>
  </si>
  <si>
    <t>Albany Co</t>
  </si>
  <si>
    <t>Batavia</t>
  </si>
  <si>
    <t>Cortland</t>
  </si>
  <si>
    <t>Dunkirk</t>
  </si>
  <si>
    <t>Glens Falls</t>
  </si>
  <si>
    <t>Gloversville</t>
  </si>
  <si>
    <t>Hornell</t>
  </si>
  <si>
    <t>Jamestown</t>
  </si>
  <si>
    <t>Kingston</t>
  </si>
  <si>
    <t>Lockport</t>
  </si>
  <si>
    <t>Newburgh, Stewart AFB</t>
  </si>
  <si>
    <t>Olean</t>
  </si>
  <si>
    <t>Oneonta</t>
  </si>
  <si>
    <t>Oswego Co</t>
  </si>
  <si>
    <t>Plattsburg AFB</t>
  </si>
  <si>
    <t>Poughkeepsie</t>
  </si>
  <si>
    <t>Rome, Griffiss AFB</t>
  </si>
  <si>
    <t>Suffolk County AFB</t>
  </si>
  <si>
    <t>Utica</t>
  </si>
  <si>
    <t>Watertown</t>
  </si>
  <si>
    <t>NORTH CAROLINA</t>
  </si>
  <si>
    <t>Durham</t>
  </si>
  <si>
    <t>Fayetteville, Pope AFB</t>
  </si>
  <si>
    <t>Goldsboro,Seymour-Johnson</t>
  </si>
  <si>
    <t>Henderson</t>
  </si>
  <si>
    <t>Hickory</t>
  </si>
  <si>
    <t>Jacksonville</t>
  </si>
  <si>
    <t>Lumberton</t>
  </si>
  <si>
    <t>Rocky Mount</t>
  </si>
  <si>
    <t>NORTH DAKOTA</t>
  </si>
  <si>
    <t>Devils Lake</t>
  </si>
  <si>
    <t>Williston</t>
  </si>
  <si>
    <t>OHIO</t>
  </si>
  <si>
    <t>Ashtabula</t>
  </si>
  <si>
    <t>Bowling Green</t>
  </si>
  <si>
    <t>Cambridge</t>
  </si>
  <si>
    <t>Chillicothe</t>
  </si>
  <si>
    <t>Cincinnati Co</t>
  </si>
  <si>
    <t>Defiance</t>
  </si>
  <si>
    <t>Hamilton</t>
  </si>
  <si>
    <t>Lancaster</t>
  </si>
  <si>
    <t>Lima</t>
  </si>
  <si>
    <t>Middletown</t>
  </si>
  <si>
    <t>Newark</t>
  </si>
  <si>
    <t>Portsmouth</t>
  </si>
  <si>
    <t>Sandusky Co</t>
  </si>
  <si>
    <t>Springfield</t>
  </si>
  <si>
    <t>Steubenville</t>
  </si>
  <si>
    <t>Warren</t>
  </si>
  <si>
    <t>Wooster</t>
  </si>
  <si>
    <t>OKLAHOMA</t>
  </si>
  <si>
    <t>Ada</t>
  </si>
  <si>
    <t>Altus AFB</t>
  </si>
  <si>
    <t>Ardmore</t>
  </si>
  <si>
    <t>Bartlesville</t>
  </si>
  <si>
    <t>Chickasha</t>
  </si>
  <si>
    <t>Enid, Vance AFB</t>
  </si>
  <si>
    <t>McAlester</t>
  </si>
  <si>
    <t>Norman</t>
  </si>
  <si>
    <t>Ponca City</t>
  </si>
  <si>
    <t>Seminole</t>
  </si>
  <si>
    <t>Woodward</t>
  </si>
  <si>
    <t>OREGON</t>
  </si>
  <si>
    <t>Albany</t>
  </si>
  <si>
    <t>Bend</t>
  </si>
  <si>
    <t>Grants Pass</t>
  </si>
  <si>
    <t>Portland Co</t>
  </si>
  <si>
    <t>The Dalles</t>
  </si>
  <si>
    <t>PENNSYLVANIA</t>
  </si>
  <si>
    <t>Altoona Co</t>
  </si>
  <si>
    <t>Butler</t>
  </si>
  <si>
    <t>Chambersburg</t>
  </si>
  <si>
    <t>Johnstown</t>
  </si>
  <si>
    <t>Meadville</t>
  </si>
  <si>
    <t>New Castle</t>
  </si>
  <si>
    <t>Pittsburgh Co</t>
  </si>
  <si>
    <t>Reading Co</t>
  </si>
  <si>
    <t>Scranton/Wilkes-Barre</t>
  </si>
  <si>
    <t>Sunbury</t>
  </si>
  <si>
    <t>Uniontown</t>
  </si>
  <si>
    <t>West Chester</t>
  </si>
  <si>
    <t>York</t>
  </si>
  <si>
    <t>RHODE ISLAND</t>
  </si>
  <si>
    <t>Charleston Co</t>
  </si>
  <si>
    <t>Georgetown</t>
  </si>
  <si>
    <t>Orangeburg</t>
  </si>
  <si>
    <t>Rock Hill</t>
  </si>
  <si>
    <t>Sumter, Shaw AFB</t>
  </si>
  <si>
    <t>SOUTH DAKOTA</t>
  </si>
  <si>
    <t>Brookings</t>
  </si>
  <si>
    <t>Mitchell</t>
  </si>
  <si>
    <t>Yankton</t>
  </si>
  <si>
    <t>TENNESSEE</t>
  </si>
  <si>
    <t>Clarksville</t>
  </si>
  <si>
    <t>Columbia</t>
  </si>
  <si>
    <t>Dyersburg</t>
  </si>
  <si>
    <t>Murfreesboro</t>
  </si>
  <si>
    <t>Tullahoma</t>
  </si>
  <si>
    <t>TEXAS</t>
  </si>
  <si>
    <t>Bay City</t>
  </si>
  <si>
    <t>Beaumont</t>
  </si>
  <si>
    <t>Beeville</t>
  </si>
  <si>
    <t>Brownwood</t>
  </si>
  <si>
    <t>Corsicana</t>
  </si>
  <si>
    <t>Del Rio, Laughlin AFB</t>
  </si>
  <si>
    <t>Denton</t>
  </si>
  <si>
    <t>Eagle Pass</t>
  </si>
  <si>
    <t>Harlingen</t>
  </si>
  <si>
    <t>Houston Co</t>
  </si>
  <si>
    <t>Huntsville</t>
  </si>
  <si>
    <t>Killeen, Robert Gray AAF</t>
  </si>
  <si>
    <t>Lamesa</t>
  </si>
  <si>
    <t>Laredo AFB</t>
  </si>
  <si>
    <t>Longview</t>
  </si>
  <si>
    <t>Mcallen</t>
  </si>
  <si>
    <t>Palestine Co</t>
  </si>
  <si>
    <t>Pampa</t>
  </si>
  <si>
    <t>Pecos</t>
  </si>
  <si>
    <t>Plainview</t>
  </si>
  <si>
    <t>Goodfellow AFB</t>
  </si>
  <si>
    <t>Sherman, Perrin AFB</t>
  </si>
  <si>
    <t>Snyder</t>
  </si>
  <si>
    <t>Temple</t>
  </si>
  <si>
    <t>Vernon</t>
  </si>
  <si>
    <t>UTAH</t>
  </si>
  <si>
    <t>Logan</t>
  </si>
  <si>
    <t>Moab</t>
  </si>
  <si>
    <t>Price</t>
  </si>
  <si>
    <t>Provo</t>
  </si>
  <si>
    <t>Richfield</t>
  </si>
  <si>
    <t>St George Co</t>
  </si>
  <si>
    <t>VERMONT</t>
  </si>
  <si>
    <t>Barre</t>
  </si>
  <si>
    <t>Rutland</t>
  </si>
  <si>
    <t>VIRGINIA</t>
  </si>
  <si>
    <t>Charlottesville</t>
  </si>
  <si>
    <t>Fredericksburg</t>
  </si>
  <si>
    <t>Harrisonburg</t>
  </si>
  <si>
    <t>Petersburg</t>
  </si>
  <si>
    <t>Staunton</t>
  </si>
  <si>
    <t>Winchester</t>
  </si>
  <si>
    <t>WASHINGTON</t>
  </si>
  <si>
    <t>Aberdeen</t>
  </si>
  <si>
    <t>Bremerton</t>
  </si>
  <si>
    <t>Everett, Paine AFB</t>
  </si>
  <si>
    <t>Kennewick</t>
  </si>
  <si>
    <t>Moses Lake, Larson AFB</t>
  </si>
  <si>
    <t>Port Angeles</t>
  </si>
  <si>
    <t>Seattle-Boeing Field</t>
  </si>
  <si>
    <t>Tacoma, McChord AFB</t>
  </si>
  <si>
    <t>Wenatchee</t>
  </si>
  <si>
    <t>WEST VIRGINIA</t>
  </si>
  <si>
    <t>Beckley</t>
  </si>
  <si>
    <t>Clarksburg</t>
  </si>
  <si>
    <t>Huntington Co</t>
  </si>
  <si>
    <t>Parkersburg Co</t>
  </si>
  <si>
    <t>Wheeling</t>
  </si>
  <si>
    <t>WISCONSIN</t>
  </si>
  <si>
    <t>Appleton</t>
  </si>
  <si>
    <t>Beloit</t>
  </si>
  <si>
    <t>Fond Du Lac</t>
  </si>
  <si>
    <t>Manitowoc</t>
  </si>
  <si>
    <t>Marinette</t>
  </si>
  <si>
    <t>Racine</t>
  </si>
  <si>
    <t>Sheboygan</t>
  </si>
  <si>
    <t>Stevens Point</t>
  </si>
  <si>
    <t>Waukesha</t>
  </si>
  <si>
    <t>WYOMING</t>
  </si>
  <si>
    <t>Cheyenne</t>
  </si>
  <si>
    <t>Evanston</t>
  </si>
  <si>
    <t>Newcastle</t>
  </si>
  <si>
    <t>Rawlins</t>
  </si>
  <si>
    <t>Torrington</t>
  </si>
  <si>
    <t>ALABAMA</t>
  </si>
  <si>
    <t>Barrow</t>
  </si>
  <si>
    <t>Montgomery</t>
  </si>
  <si>
    <t>Tuscaloosa</t>
  </si>
  <si>
    <t>Anchorage</t>
  </si>
  <si>
    <t>Fairbanks</t>
  </si>
  <si>
    <t>Anniston</t>
  </si>
  <si>
    <t>Birmingham</t>
  </si>
  <si>
    <t>Dothan</t>
  </si>
  <si>
    <t>Florence</t>
  </si>
  <si>
    <t>Mobile</t>
  </si>
  <si>
    <t>Juneau</t>
  </si>
  <si>
    <t>Nome</t>
  </si>
  <si>
    <t>Douglas</t>
  </si>
  <si>
    <t>Flagstaff</t>
  </si>
  <si>
    <t>Fort Huachuca</t>
  </si>
  <si>
    <t>Kingman</t>
  </si>
  <si>
    <t>Phoenix</t>
  </si>
  <si>
    <t>Prescott</t>
  </si>
  <si>
    <t>Tucson</t>
  </si>
  <si>
    <t>Winslow</t>
  </si>
  <si>
    <t>Yuma</t>
  </si>
  <si>
    <t>Fayetteville</t>
  </si>
  <si>
    <t>Fort Smith</t>
  </si>
  <si>
    <t>Little Rock</t>
  </si>
  <si>
    <t>Pine Bluff</t>
  </si>
  <si>
    <t>Texarkana</t>
  </si>
  <si>
    <t>Bakersfield</t>
  </si>
  <si>
    <t>Barstow</t>
  </si>
  <si>
    <t>Blythe</t>
  </si>
  <si>
    <t>Burbank</t>
  </si>
  <si>
    <t>Crescent City</t>
  </si>
  <si>
    <t>El Cerrito</t>
  </si>
  <si>
    <t>Eureka/Arcata</t>
  </si>
  <si>
    <t>Fresno</t>
  </si>
  <si>
    <t>Long Beach</t>
  </si>
  <si>
    <t>Los Angeles</t>
  </si>
  <si>
    <t>Los Angeles CO</t>
  </si>
  <si>
    <t>Needles</t>
  </si>
  <si>
    <t>Oakland</t>
  </si>
  <si>
    <t>Palmdale</t>
  </si>
  <si>
    <t>Redding</t>
  </si>
  <si>
    <t>Riverside-March AFB</t>
  </si>
  <si>
    <t>Sacramento</t>
  </si>
  <si>
    <t>Salinas</t>
  </si>
  <si>
    <t>San Diego</t>
  </si>
  <si>
    <t>San Francisco</t>
  </si>
  <si>
    <t>San Jose</t>
  </si>
  <si>
    <t>Santa Ana</t>
  </si>
  <si>
    <t xml:space="preserve">Santa Barbara </t>
  </si>
  <si>
    <t>Santa Maria</t>
  </si>
  <si>
    <t>Stockton</t>
  </si>
  <si>
    <t>Alamosa</t>
  </si>
  <si>
    <t>Colorado Springs</t>
  </si>
  <si>
    <t>Denver</t>
  </si>
  <si>
    <t>Grand Junction</t>
  </si>
  <si>
    <t>Lajunta</t>
  </si>
  <si>
    <t>Pueblo</t>
  </si>
  <si>
    <t>Bridgeport</t>
  </si>
  <si>
    <t>New Haven</t>
  </si>
  <si>
    <t>Wilmington</t>
  </si>
  <si>
    <t>Washington, National</t>
  </si>
  <si>
    <t>Cape Kennedy</t>
  </si>
  <si>
    <t>Daytona Beach</t>
  </si>
  <si>
    <t>Fort Myers</t>
  </si>
  <si>
    <t>Key West</t>
  </si>
  <si>
    <t>Lakeland Co</t>
  </si>
  <si>
    <t>Miami</t>
  </si>
  <si>
    <t>Orlando</t>
  </si>
  <si>
    <t>Tallahassee</t>
  </si>
  <si>
    <t>Tampa</t>
  </si>
  <si>
    <t>West Palm Beach</t>
  </si>
  <si>
    <t>Atlanta</t>
  </si>
  <si>
    <t>Augusta</t>
  </si>
  <si>
    <t>Macon</t>
  </si>
  <si>
    <t>Hilo</t>
  </si>
  <si>
    <t>Honolulu</t>
  </si>
  <si>
    <t>Boise</t>
  </si>
  <si>
    <t>Coeur D'Alene</t>
  </si>
  <si>
    <t>Idaho Falls</t>
  </si>
  <si>
    <t>Pocatello</t>
  </si>
  <si>
    <t>Twin Falls</t>
  </si>
  <si>
    <t>Chicago, Midway</t>
  </si>
  <si>
    <t>Chicago, O'Hare</t>
  </si>
  <si>
    <t>Moline</t>
  </si>
  <si>
    <t>Peoria</t>
  </si>
  <si>
    <t>Quincy</t>
  </si>
  <si>
    <t>Evansville</t>
  </si>
  <si>
    <t>Fort Wayne</t>
  </si>
  <si>
    <t>Goshen</t>
  </si>
  <si>
    <t>Indianapolis</t>
  </si>
  <si>
    <t>South Bend</t>
  </si>
  <si>
    <t>Terre Haute</t>
  </si>
  <si>
    <t>Ames</t>
  </si>
  <si>
    <t>Burlington</t>
  </si>
  <si>
    <t>Cedar Rapids</t>
  </si>
  <si>
    <t>Des Moines</t>
  </si>
  <si>
    <t>Mason City</t>
  </si>
  <si>
    <t>Ottumwa</t>
  </si>
  <si>
    <t>Sioux City</t>
  </si>
  <si>
    <t>Chanute</t>
  </si>
  <si>
    <t>Dodge City</t>
  </si>
  <si>
    <t>Garden City</t>
  </si>
  <si>
    <t>Goodland</t>
  </si>
  <si>
    <t>Hutchinson</t>
  </si>
  <si>
    <t>Manhattan, Ft Riley</t>
  </si>
  <si>
    <t>Russell</t>
  </si>
  <si>
    <t>Topeka</t>
  </si>
  <si>
    <t>Wichita</t>
  </si>
  <si>
    <t>Corbin</t>
  </si>
  <si>
    <t>Covington</t>
  </si>
  <si>
    <t>Lexington</t>
  </si>
  <si>
    <t>Louisville</t>
  </si>
  <si>
    <t>Paducah</t>
  </si>
  <si>
    <t>Alexandria</t>
  </si>
  <si>
    <t>Baton Rouge</t>
  </si>
  <si>
    <t>Lake Charles</t>
  </si>
  <si>
    <t>Monroe</t>
  </si>
  <si>
    <t>New Orleans</t>
  </si>
  <si>
    <t>Shreveport</t>
  </si>
  <si>
    <t>Caribou</t>
  </si>
  <si>
    <t>Millinocket</t>
  </si>
  <si>
    <t>Portland</t>
  </si>
  <si>
    <t>Baltimore</t>
  </si>
  <si>
    <t>Frederick</t>
  </si>
  <si>
    <t>Salisbury</t>
  </si>
  <si>
    <t>Boston</t>
  </si>
  <si>
    <t>Pittsfield</t>
  </si>
  <si>
    <t>Worcester</t>
  </si>
  <si>
    <t>Alpena</t>
  </si>
  <si>
    <t>Battle Creek</t>
  </si>
  <si>
    <t>Benton Harbor</t>
  </si>
  <si>
    <t>Flint</t>
  </si>
  <si>
    <t>Grand Rapids</t>
  </si>
  <si>
    <t>Jackson</t>
  </si>
  <si>
    <t>Lansing</t>
  </si>
  <si>
    <t>Muskegon</t>
  </si>
  <si>
    <t>Saginaw</t>
  </si>
  <si>
    <t>Sault Ste. Marie</t>
  </si>
  <si>
    <t>Traverse City</t>
  </si>
  <si>
    <t>Bemidji</t>
  </si>
  <si>
    <t>Duluth</t>
  </si>
  <si>
    <t>International Falls</t>
  </si>
  <si>
    <t>Minneapolis/St. Paul</t>
  </si>
  <si>
    <t>Rochester</t>
  </si>
  <si>
    <t>St. Cloud</t>
  </si>
  <si>
    <t>Mccomb</t>
  </si>
  <si>
    <t>Meridian</t>
  </si>
  <si>
    <t>Farmington</t>
  </si>
  <si>
    <t>Joplin</t>
  </si>
  <si>
    <t>Kansas City</t>
  </si>
  <si>
    <t>Kirksville</t>
  </si>
  <si>
    <t>St. Joseph</t>
  </si>
  <si>
    <t>St. Louis</t>
  </si>
  <si>
    <t>Billings</t>
  </si>
  <si>
    <t>Butte</t>
  </si>
  <si>
    <t>Cut Bank</t>
  </si>
  <si>
    <t>Glasgow</t>
  </si>
  <si>
    <t>Great Falls</t>
  </si>
  <si>
    <t>Helena</t>
  </si>
  <si>
    <t>Kalispell</t>
  </si>
  <si>
    <t>Livingstown</t>
  </si>
  <si>
    <t>Miles City</t>
  </si>
  <si>
    <t>Missoula</t>
  </si>
  <si>
    <t>Chadron</t>
  </si>
  <si>
    <t>Grand Island</t>
  </si>
  <si>
    <t>Lincoln Co</t>
  </si>
  <si>
    <t>North Platte</t>
  </si>
  <si>
    <t>Omaha</t>
  </si>
  <si>
    <t>Scottsbluff</t>
  </si>
  <si>
    <t>Sidney</t>
  </si>
  <si>
    <t>Elko</t>
  </si>
  <si>
    <t>Ely</t>
  </si>
  <si>
    <t>Las Vegas</t>
  </si>
  <si>
    <t>Lovelock</t>
  </si>
  <si>
    <t>Reno</t>
  </si>
  <si>
    <t>Tonopah</t>
  </si>
  <si>
    <t>Winnemucca</t>
  </si>
  <si>
    <t>Albuquerque</t>
  </si>
  <si>
    <t>Carlsbad</t>
  </si>
  <si>
    <t>Clovis</t>
  </si>
  <si>
    <t>Hobbs</t>
  </si>
  <si>
    <t>Raton</t>
  </si>
  <si>
    <t>Silver City</t>
  </si>
  <si>
    <t>Socorro</t>
  </si>
  <si>
    <t>Tucumcari</t>
  </si>
  <si>
    <t>Binghamton</t>
  </si>
  <si>
    <t>Buffalo</t>
  </si>
  <si>
    <t>Elmira</t>
  </si>
  <si>
    <t>Geneva</t>
  </si>
  <si>
    <t>Ithaca</t>
  </si>
  <si>
    <t>Massena</t>
  </si>
  <si>
    <t>NYC-Central Park</t>
  </si>
  <si>
    <t>NYC-Kennedy</t>
  </si>
  <si>
    <t>NYC-La Guardia</t>
  </si>
  <si>
    <t>Niagara Falls</t>
  </si>
  <si>
    <t>Schenectady</t>
  </si>
  <si>
    <t>Syracuse</t>
  </si>
  <si>
    <t>Asheville</t>
  </si>
  <si>
    <t>Charlotte</t>
  </si>
  <si>
    <t>Elizabeth City</t>
  </si>
  <si>
    <t>Greensboro</t>
  </si>
  <si>
    <t>New Bern</t>
  </si>
  <si>
    <t>Raleigh/Durham</t>
  </si>
  <si>
    <t>Winston-Salem</t>
  </si>
  <si>
    <t>Bismarck</t>
  </si>
  <si>
    <t>Dickinson</t>
  </si>
  <si>
    <t>Fargo</t>
  </si>
  <si>
    <t>Grand Forks</t>
  </si>
  <si>
    <t>Minot</t>
  </si>
  <si>
    <t>Akron-Canton</t>
  </si>
  <si>
    <t>Cleveland</t>
  </si>
  <si>
    <t>Dayton</t>
  </si>
  <si>
    <t>Findlay</t>
  </si>
  <si>
    <t>Mansfield</t>
  </si>
  <si>
    <t>Toledo</t>
  </si>
  <si>
    <t>Youngstown</t>
  </si>
  <si>
    <t>Zanesville</t>
  </si>
  <si>
    <t>Lawton</t>
  </si>
  <si>
    <t>Muskogee</t>
  </si>
  <si>
    <t>Oklahoma City</t>
  </si>
  <si>
    <t>Stillwater</t>
  </si>
  <si>
    <t>Tulsa</t>
  </si>
  <si>
    <t>Astoria</t>
  </si>
  <si>
    <t>Baker</t>
  </si>
  <si>
    <t>Corvallis</t>
  </si>
  <si>
    <t>Eugene</t>
  </si>
  <si>
    <t>Klamath Falls</t>
  </si>
  <si>
    <t>Medford</t>
  </si>
  <si>
    <t>Pendleton</t>
  </si>
  <si>
    <t>Roseburg</t>
  </si>
  <si>
    <t>Salem</t>
  </si>
  <si>
    <t>Allentown</t>
  </si>
  <si>
    <t>Erie</t>
  </si>
  <si>
    <t>Harrisburg</t>
  </si>
  <si>
    <t>Philadelphia</t>
  </si>
  <si>
    <t>Pittsburgh</t>
  </si>
  <si>
    <t>State College</t>
  </si>
  <si>
    <t>Williamsport</t>
  </si>
  <si>
    <t>Newport</t>
  </si>
  <si>
    <t>Providence</t>
  </si>
  <si>
    <t>Charleston AFB</t>
  </si>
  <si>
    <t>Spartanburg</t>
  </si>
  <si>
    <t>Huron</t>
  </si>
  <si>
    <t>Pierre</t>
  </si>
  <si>
    <t>Rapid City</t>
  </si>
  <si>
    <t>Sioux Falls</t>
  </si>
  <si>
    <t>Bristol-Tri City</t>
  </si>
  <si>
    <t>Chattanooga</t>
  </si>
  <si>
    <t>Knoxville</t>
  </si>
  <si>
    <t>Memphis</t>
  </si>
  <si>
    <t>Nashville</t>
  </si>
  <si>
    <t>Abilene</t>
  </si>
  <si>
    <t>Alice</t>
  </si>
  <si>
    <t>Amarillo</t>
  </si>
  <si>
    <t>Austin</t>
  </si>
  <si>
    <t>Big Spring</t>
  </si>
  <si>
    <t>Brownsville</t>
  </si>
  <si>
    <t>Bryan</t>
  </si>
  <si>
    <t>Corpus Christi</t>
  </si>
  <si>
    <t>Dallas</t>
  </si>
  <si>
    <t>El Paso</t>
  </si>
  <si>
    <t>Fort Worth</t>
  </si>
  <si>
    <t>Galveston</t>
  </si>
  <si>
    <t>Houston</t>
  </si>
  <si>
    <t>Lubbock</t>
  </si>
  <si>
    <t>Lufkin</t>
  </si>
  <si>
    <t>Midland</t>
  </si>
  <si>
    <t>Mineral Wells</t>
  </si>
  <si>
    <t>Port Arthur</t>
  </si>
  <si>
    <t>San Antonio</t>
  </si>
  <si>
    <t>Tyler</t>
  </si>
  <si>
    <t>Victoria</t>
  </si>
  <si>
    <t>Waco</t>
  </si>
  <si>
    <t>Wichita Falls</t>
  </si>
  <si>
    <t>Cedar City</t>
  </si>
  <si>
    <t>Ogden</t>
  </si>
  <si>
    <t>Salt Lake City</t>
  </si>
  <si>
    <t>Vernal</t>
  </si>
  <si>
    <t>Lynchburg</t>
  </si>
  <si>
    <t>Roanoke</t>
  </si>
  <si>
    <t>Bellingham</t>
  </si>
  <si>
    <t>Ellensburg</t>
  </si>
  <si>
    <t>Olympia</t>
  </si>
  <si>
    <t>Seattle Co</t>
  </si>
  <si>
    <t>Seattle-Tacoma</t>
  </si>
  <si>
    <t>Spokane</t>
  </si>
  <si>
    <t>Walla Walla</t>
  </si>
  <si>
    <t>Yakima</t>
  </si>
  <si>
    <t>Bluefield</t>
  </si>
  <si>
    <t>Charleston</t>
  </si>
  <si>
    <t>Elkins</t>
  </si>
  <si>
    <t>Martinsburg</t>
  </si>
  <si>
    <t>Morgantown</t>
  </si>
  <si>
    <t>Eau Claire</t>
  </si>
  <si>
    <t>Green Bay</t>
  </si>
  <si>
    <t>La Crosse</t>
  </si>
  <si>
    <t>Madison</t>
  </si>
  <si>
    <t>Milwaukee</t>
  </si>
  <si>
    <t>Wausau</t>
  </si>
  <si>
    <t>Casper</t>
  </si>
  <si>
    <t>Cody</t>
  </si>
  <si>
    <t>Lander</t>
  </si>
  <si>
    <t>Laramie</t>
  </si>
  <si>
    <t>Rock Springs</t>
  </si>
  <si>
    <t>Sheridan</t>
  </si>
  <si>
    <t>Santa Monica</t>
  </si>
  <si>
    <t>All data from http://www.artscipub.com/info/latlonofmajorcities.asp</t>
  </si>
  <si>
    <t>State</t>
  </si>
  <si>
    <t>City</t>
  </si>
  <si>
    <t>Starting Location</t>
  </si>
  <si>
    <t>Ending Location</t>
  </si>
  <si>
    <t>LAT</t>
  </si>
  <si>
    <t>LON</t>
  </si>
  <si>
    <t>a</t>
  </si>
  <si>
    <t>b</t>
  </si>
  <si>
    <t>c</t>
  </si>
  <si>
    <t>d</t>
  </si>
  <si>
    <t>miles</t>
  </si>
  <si>
    <t>Distance Calculator</t>
  </si>
  <si>
    <t>Distance</t>
  </si>
  <si>
    <t>SOUTH CAROLINA</t>
  </si>
  <si>
    <t>ALASKA</t>
  </si>
  <si>
    <t>kilometers</t>
  </si>
  <si>
    <t>mi</t>
  </si>
  <si>
    <t>km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</si>
</sst>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2" fontId="0" fillId="0" borderId="0" xfId="0" applyNumberFormat="1"/>
    <xf numFmtId="164" fontId="0" fillId="0" borderId="0" xfId="0" applyNumberFormat="1"/>
    <xf numFmtId="0" fontId="0" fillId="3" borderId="2" xfId="0" applyFill="1" applyBorder="1"/>
    <xf numFmtId="0" fontId="0" fillId="3" borderId="3" xfId="0" applyFill="1" applyBorder="1"/>
    <xf numFmtId="0" fontId="0" fillId="3" borderId="4" xfId="0" applyFill="1" applyBorder="1"/>
    <xf numFmtId="0" fontId="0" fillId="3" borderId="5" xfId="0" applyFill="1" applyBorder="1"/>
    <xf numFmtId="0" fontId="0" fillId="0" borderId="2" xfId="0" applyFill="1" applyBorder="1"/>
    <xf numFmtId="0" fontId="0" fillId="0" borderId="3" xfId="0" applyFill="1" applyBorder="1"/>
    <xf numFmtId="0" fontId="0" fillId="0" borderId="4" xfId="0" applyFill="1" applyBorder="1"/>
    <xf numFmtId="0" fontId="0" fillId="0" borderId="5" xfId="0" applyFill="1" applyBorder="1"/>
    <xf numFmtId="0" fontId="0" fillId="0" borderId="0" xfId="0" applyFill="1"/>
    <xf numFmtId="0" fontId="0" fillId="2" borderId="6" xfId="0" applyFill="1" applyBorder="1"/>
    <xf numFmtId="1" fontId="0" fillId="2" borderId="7" xfId="0" applyNumberFormat="1" applyFill="1" applyBorder="1"/>
    <xf numFmtId="0" fontId="0" fillId="2" borderId="8" xfId="0" applyFill="1" applyBorder="1"/>
    <xf numFmtId="0" fontId="1" fillId="0" borderId="0" xfId="0" applyFont="1"/>
    <xf numFmtId="1" fontId="0" fillId="2" borderId="9" xfId="0" applyNumberFormat="1" applyFill="1" applyBorder="1"/>
    <xf numFmtId="1" fontId="0" fillId="2" borderId="1" xfId="0" applyNumberForma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92A215-7B7E-4815-91F2-92EFCB0CC662}">
  <sheetPr codeName="Sheet2"/>
  <dimension ref="A1:I51"/>
  <sheetViews>
    <sheetView workbookViewId="0">
      <selection activeCell="D8" sqref="D8"/>
    </sheetView>
  </sheetViews>
  <sheetFormatPr defaultRowHeight="15" x14ac:dyDescent="0.25"/>
  <cols>
    <col min="1" max="1" width="14.140625" bestFit="1" customWidth="1"/>
    <col min="2" max="2" width="19.42578125" customWidth="1"/>
    <col min="3" max="3" width="12.42578125" customWidth="1"/>
    <col min="4" max="4" width="14" bestFit="1" customWidth="1"/>
    <col min="8" max="8" width="25.42578125" hidden="1" customWidth="1"/>
    <col min="9" max="9" width="0" hidden="1" customWidth="1"/>
  </cols>
  <sheetData>
    <row r="1" spans="1:9" x14ac:dyDescent="0.25">
      <c r="A1" s="15" t="s">
        <v>764</v>
      </c>
      <c r="H1" t="s">
        <v>445</v>
      </c>
    </row>
    <row r="2" spans="1:9" x14ac:dyDescent="0.25">
      <c r="H2" t="s">
        <v>767</v>
      </c>
      <c r="I2" t="s">
        <v>769</v>
      </c>
    </row>
    <row r="3" spans="1:9" ht="15.75" thickBot="1" x14ac:dyDescent="0.3">
      <c r="A3" t="s">
        <v>755</v>
      </c>
      <c r="H3" t="s">
        <v>10</v>
      </c>
      <c r="I3" t="s">
        <v>770</v>
      </c>
    </row>
    <row r="4" spans="1:9" x14ac:dyDescent="0.25">
      <c r="A4" s="3" t="s">
        <v>753</v>
      </c>
      <c r="B4" s="4" t="s">
        <v>176</v>
      </c>
      <c r="H4" t="s">
        <v>12</v>
      </c>
    </row>
    <row r="5" spans="1:9" ht="15.75" thickBot="1" x14ac:dyDescent="0.3">
      <c r="A5" s="5" t="s">
        <v>754</v>
      </c>
      <c r="B5" s="6" t="s">
        <v>177</v>
      </c>
      <c r="H5" t="s">
        <v>17</v>
      </c>
    </row>
    <row r="6" spans="1:9" x14ac:dyDescent="0.25">
      <c r="H6" t="s">
        <v>53</v>
      </c>
    </row>
    <row r="7" spans="1:9" ht="15.75" thickBot="1" x14ac:dyDescent="0.3">
      <c r="A7" t="s">
        <v>756</v>
      </c>
      <c r="H7" t="s">
        <v>61</v>
      </c>
    </row>
    <row r="8" spans="1:9" x14ac:dyDescent="0.25">
      <c r="A8" s="3" t="s">
        <v>753</v>
      </c>
      <c r="B8" s="4" t="s">
        <v>221</v>
      </c>
      <c r="H8" t="s">
        <v>68</v>
      </c>
    </row>
    <row r="9" spans="1:9" ht="15.75" thickBot="1" x14ac:dyDescent="0.3">
      <c r="A9" s="5" t="s">
        <v>754</v>
      </c>
      <c r="B9" s="6" t="s">
        <v>593</v>
      </c>
      <c r="H9" t="s">
        <v>70</v>
      </c>
    </row>
    <row r="10" spans="1:9" ht="15.75" thickBot="1" x14ac:dyDescent="0.3">
      <c r="H10" t="s">
        <v>72</v>
      </c>
    </row>
    <row r="11" spans="1:9" ht="15.75" thickBot="1" x14ac:dyDescent="0.3">
      <c r="A11" s="12" t="s">
        <v>765</v>
      </c>
      <c r="B11" s="13">
        <f ca="1">IFERROR(IF(C11="mi",Data!H16,Data!H17),"-- Choose City --")</f>
        <v>762.7584029617924</v>
      </c>
      <c r="C11" s="14" t="s">
        <v>769</v>
      </c>
      <c r="H11" t="s">
        <v>84</v>
      </c>
    </row>
    <row r="12" spans="1:9" x14ac:dyDescent="0.25">
      <c r="H12" t="s">
        <v>99</v>
      </c>
    </row>
    <row r="13" spans="1:9" x14ac:dyDescent="0.25">
      <c r="H13" t="s">
        <v>102</v>
      </c>
    </row>
    <row r="14" spans="1:9" x14ac:dyDescent="0.25">
      <c r="H14" t="s">
        <v>106</v>
      </c>
    </row>
    <row r="15" spans="1:9" x14ac:dyDescent="0.25">
      <c r="H15" t="s">
        <v>127</v>
      </c>
    </row>
    <row r="16" spans="1:9" x14ac:dyDescent="0.25">
      <c r="H16" t="s">
        <v>144</v>
      </c>
    </row>
    <row r="17" spans="8:8" x14ac:dyDescent="0.25">
      <c r="H17" t="s">
        <v>154</v>
      </c>
    </row>
    <row r="18" spans="8:8" x14ac:dyDescent="0.25">
      <c r="H18" t="s">
        <v>162</v>
      </c>
    </row>
    <row r="19" spans="8:8" x14ac:dyDescent="0.25">
      <c r="H19" t="s">
        <v>167</v>
      </c>
    </row>
    <row r="20" spans="8:8" x14ac:dyDescent="0.25">
      <c r="H20" t="s">
        <v>172</v>
      </c>
    </row>
    <row r="21" spans="8:8" x14ac:dyDescent="0.25">
      <c r="H21" t="s">
        <v>176</v>
      </c>
    </row>
    <row r="22" spans="8:8" x14ac:dyDescent="0.25">
      <c r="H22" t="s">
        <v>180</v>
      </c>
    </row>
    <row r="23" spans="8:8" x14ac:dyDescent="0.25">
      <c r="H23" t="s">
        <v>190</v>
      </c>
    </row>
    <row r="24" spans="8:8" x14ac:dyDescent="0.25">
      <c r="H24" t="s">
        <v>201</v>
      </c>
    </row>
    <row r="25" spans="8:8" x14ac:dyDescent="0.25">
      <c r="H25" t="s">
        <v>210</v>
      </c>
    </row>
    <row r="26" spans="8:8" x14ac:dyDescent="0.25">
      <c r="H26" t="s">
        <v>221</v>
      </c>
    </row>
    <row r="27" spans="8:8" x14ac:dyDescent="0.25">
      <c r="H27" t="s">
        <v>232</v>
      </c>
    </row>
    <row r="28" spans="8:8" x14ac:dyDescent="0.25">
      <c r="H28" t="s">
        <v>236</v>
      </c>
    </row>
    <row r="29" spans="8:8" x14ac:dyDescent="0.25">
      <c r="H29" t="s">
        <v>244</v>
      </c>
    </row>
    <row r="30" spans="8:8" x14ac:dyDescent="0.25">
      <c r="H30" t="s">
        <v>247</v>
      </c>
    </row>
    <row r="31" spans="8:8" x14ac:dyDescent="0.25">
      <c r="H31" t="s">
        <v>254</v>
      </c>
    </row>
    <row r="32" spans="8:8" x14ac:dyDescent="0.25">
      <c r="H32" t="s">
        <v>262</v>
      </c>
    </row>
    <row r="33" spans="8:8" x14ac:dyDescent="0.25">
      <c r="H33" t="s">
        <v>271</v>
      </c>
    </row>
    <row r="34" spans="8:8" x14ac:dyDescent="0.25">
      <c r="H34" t="s">
        <v>292</v>
      </c>
    </row>
    <row r="35" spans="8:8" x14ac:dyDescent="0.25">
      <c r="H35" t="s">
        <v>301</v>
      </c>
    </row>
    <row r="36" spans="8:8" x14ac:dyDescent="0.25">
      <c r="H36" t="s">
        <v>304</v>
      </c>
    </row>
    <row r="37" spans="8:8" x14ac:dyDescent="0.25">
      <c r="H37" t="s">
        <v>322</v>
      </c>
    </row>
    <row r="38" spans="8:8" x14ac:dyDescent="0.25">
      <c r="H38" t="s">
        <v>334</v>
      </c>
    </row>
    <row r="39" spans="8:8" x14ac:dyDescent="0.25">
      <c r="H39" t="s">
        <v>340</v>
      </c>
    </row>
    <row r="40" spans="8:8" x14ac:dyDescent="0.25">
      <c r="H40" t="s">
        <v>354</v>
      </c>
    </row>
    <row r="41" spans="8:8" x14ac:dyDescent="0.25">
      <c r="H41" t="s">
        <v>766</v>
      </c>
    </row>
    <row r="42" spans="8:8" x14ac:dyDescent="0.25">
      <c r="H42" t="s">
        <v>360</v>
      </c>
    </row>
    <row r="43" spans="8:8" x14ac:dyDescent="0.25">
      <c r="H43" t="s">
        <v>364</v>
      </c>
    </row>
    <row r="44" spans="8:8" x14ac:dyDescent="0.25">
      <c r="H44" t="s">
        <v>370</v>
      </c>
    </row>
    <row r="45" spans="8:8" x14ac:dyDescent="0.25">
      <c r="H45" t="s">
        <v>396</v>
      </c>
    </row>
    <row r="46" spans="8:8" x14ac:dyDescent="0.25">
      <c r="H46" t="s">
        <v>403</v>
      </c>
    </row>
    <row r="47" spans="8:8" x14ac:dyDescent="0.25">
      <c r="H47" t="s">
        <v>406</v>
      </c>
    </row>
    <row r="48" spans="8:8" x14ac:dyDescent="0.25">
      <c r="H48" t="s">
        <v>413</v>
      </c>
    </row>
    <row r="49" spans="8:8" x14ac:dyDescent="0.25">
      <c r="H49" t="s">
        <v>423</v>
      </c>
    </row>
    <row r="50" spans="8:8" x14ac:dyDescent="0.25">
      <c r="H50" t="s">
        <v>429</v>
      </c>
    </row>
    <row r="51" spans="8:8" x14ac:dyDescent="0.25">
      <c r="H51" t="s">
        <v>439</v>
      </c>
    </row>
  </sheetData>
  <dataValidations count="4">
    <dataValidation type="list" allowBlank="1" showInputMessage="1" showErrorMessage="1" sqref="B4 B8" xr:uid="{100A8EC9-43D8-4F7F-B7F8-C9FC5556A738}">
      <formula1>$H$1:$H$51</formula1>
    </dataValidation>
    <dataValidation type="list" allowBlank="1" showInputMessage="1" showErrorMessage="1" sqref="B5" xr:uid="{90859CF7-9593-4252-996F-753EE1E355C0}">
      <formula1>INDIRECT(SUBSTITUTE($B$4," ","_"))</formula1>
    </dataValidation>
    <dataValidation type="list" allowBlank="1" showInputMessage="1" showErrorMessage="1" sqref="B9" xr:uid="{47845900-09FE-4998-84CE-374C899BE883}">
      <formula1>INDIRECT(SUBSTITUTE($B$8," ","_"))</formula1>
    </dataValidation>
    <dataValidation type="list" allowBlank="1" showInputMessage="1" showErrorMessage="1" sqref="C11" xr:uid="{57DEA451-6C36-4E68-BAE9-50329FEB39A4}">
      <formula1>$I$2:$I$3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4:K860"/>
  <sheetViews>
    <sheetView tabSelected="1" zoomScaleNormal="100" workbookViewId="0">
      <selection activeCell="E15" sqref="E15"/>
    </sheetView>
  </sheetViews>
  <sheetFormatPr defaultRowHeight="15" x14ac:dyDescent="0.25"/>
  <cols>
    <col min="1" max="1" width="27.140625" bestFit="1" customWidth="1"/>
    <col min="2" max="2" width="9.5703125" bestFit="1" customWidth="1"/>
    <col min="3" max="3" width="10.85546875" customWidth="1"/>
    <col min="8" max="8" width="18.28515625" bestFit="1" customWidth="1"/>
    <col min="13" max="13" width="26.28515625" customWidth="1"/>
  </cols>
  <sheetData>
    <row r="4" spans="1:11" x14ac:dyDescent="0.25">
      <c r="A4" t="s">
        <v>445</v>
      </c>
      <c r="B4" t="s">
        <v>7</v>
      </c>
      <c r="C4" t="s">
        <v>8</v>
      </c>
    </row>
    <row r="5" spans="1:11" ht="15.75" thickBot="1" x14ac:dyDescent="0.3">
      <c r="A5" t="s">
        <v>0</v>
      </c>
      <c r="B5" s="1">
        <v>32.950000000000003</v>
      </c>
      <c r="C5" s="1">
        <v>85.95</v>
      </c>
      <c r="G5" t="s">
        <v>755</v>
      </c>
      <c r="J5" t="s">
        <v>757</v>
      </c>
      <c r="K5" t="s">
        <v>758</v>
      </c>
    </row>
    <row r="6" spans="1:11" x14ac:dyDescent="0.25">
      <c r="A6" t="s">
        <v>451</v>
      </c>
      <c r="B6" s="1">
        <v>33.583333333333336</v>
      </c>
      <c r="C6" s="1">
        <v>85.85</v>
      </c>
      <c r="G6" s="7" t="s">
        <v>753</v>
      </c>
      <c r="H6" s="8" t="str">
        <f>Dashboard!B4</f>
        <v>MARYLAND</v>
      </c>
    </row>
    <row r="7" spans="1:11" ht="15.75" thickBot="1" x14ac:dyDescent="0.3">
      <c r="A7" t="s">
        <v>1</v>
      </c>
      <c r="B7" s="1">
        <v>32.6</v>
      </c>
      <c r="C7" s="1">
        <v>85.5</v>
      </c>
      <c r="G7" s="9" t="s">
        <v>754</v>
      </c>
      <c r="H7" s="10" t="str">
        <f>Dashboard!B5</f>
        <v>Baltimore Co</v>
      </c>
      <c r="J7">
        <f ca="1">VLOOKUP(H7,OFFSET(A1,MATCH($H$6,A:A,0),0,COUNTA(INDIRECT(SUBSTITUTE(H6," ","_"))),3),2,0)</f>
        <v>39.333333333333336</v>
      </c>
      <c r="K7">
        <f ca="1">VLOOKUP(H7,OFFSET(A1,MATCH($H$6,A:A,0),0,COUNTA(INDIRECT(SUBSTITUTE(H6," ","_"))),3),3,0)</f>
        <v>76.416666666666671</v>
      </c>
    </row>
    <row r="8" spans="1:11" x14ac:dyDescent="0.25">
      <c r="A8" t="s">
        <v>452</v>
      </c>
      <c r="B8" s="1">
        <v>33.56666666666667</v>
      </c>
      <c r="C8" s="1">
        <v>86.75</v>
      </c>
      <c r="G8" s="11"/>
      <c r="H8" s="11"/>
    </row>
    <row r="9" spans="1:11" ht="15.75" thickBot="1" x14ac:dyDescent="0.3">
      <c r="A9" t="s">
        <v>2</v>
      </c>
      <c r="B9" s="1">
        <v>34.616666666666667</v>
      </c>
      <c r="C9" s="1">
        <v>86.983333333333334</v>
      </c>
      <c r="G9" s="11" t="s">
        <v>756</v>
      </c>
      <c r="H9" s="11"/>
    </row>
    <row r="10" spans="1:11" x14ac:dyDescent="0.25">
      <c r="A10" t="s">
        <v>453</v>
      </c>
      <c r="B10" s="1">
        <v>31.316666666666666</v>
      </c>
      <c r="C10" s="1">
        <v>85.45</v>
      </c>
      <c r="G10" s="7" t="s">
        <v>753</v>
      </c>
      <c r="H10" s="8" t="str">
        <f>Dashboard!B8</f>
        <v>MISSOURI</v>
      </c>
    </row>
    <row r="11" spans="1:11" ht="15.75" thickBot="1" x14ac:dyDescent="0.3">
      <c r="A11" t="s">
        <v>454</v>
      </c>
      <c r="B11" s="1">
        <v>34.799999999999997</v>
      </c>
      <c r="C11" s="1">
        <v>87.666666666666671</v>
      </c>
      <c r="G11" s="9" t="s">
        <v>754</v>
      </c>
      <c r="H11" s="10" t="str">
        <f>Dashboard!B9</f>
        <v>Farmington</v>
      </c>
      <c r="J11">
        <f ca="1">VLOOKUP(H11,OFFSET(A1,MATCH($H$10,A:A,0),0,COUNTA(INDIRECT(SUBSTITUTE(H10," ","_"))),3),2,0)</f>
        <v>37.766666666666666</v>
      </c>
      <c r="K11">
        <f ca="1">VLOOKUP(H11,OFFSET(A1,MATCH($H$10,A:A,0),0,COUNTA(INDIRECT(SUBSTITUTE(H10," ","_"))),3),3,0)</f>
        <v>90.4</v>
      </c>
    </row>
    <row r="12" spans="1:11" x14ac:dyDescent="0.25">
      <c r="A12" t="s">
        <v>3</v>
      </c>
      <c r="B12" s="1">
        <v>34.016666666666666</v>
      </c>
      <c r="C12" s="1">
        <v>86</v>
      </c>
    </row>
    <row r="13" spans="1:11" x14ac:dyDescent="0.25">
      <c r="A13" t="s">
        <v>381</v>
      </c>
      <c r="B13" s="1">
        <v>34.700000000000003</v>
      </c>
      <c r="C13" s="1">
        <v>86.583333333333329</v>
      </c>
      <c r="G13" t="s">
        <v>759</v>
      </c>
      <c r="H13">
        <f ca="1">COS(lat_1*PI()/180)*COS(lat_2*PI()/180)*COS(lon_1*PI()/180)*COS(lon_2*PI()/180)</f>
        <v>-1.0025228025435798E-3</v>
      </c>
    </row>
    <row r="14" spans="1:11" x14ac:dyDescent="0.25">
      <c r="A14" t="s">
        <v>455</v>
      </c>
      <c r="B14" s="1">
        <v>30.683333333333334</v>
      </c>
      <c r="C14" s="1">
        <v>88.25</v>
      </c>
      <c r="G14" t="s">
        <v>760</v>
      </c>
      <c r="H14">
        <f ca="1">COS(lat_1*PI()/180)*SIN(lon_1*PI()/180)*COS(lat_2*PI()/180)*SIN(lon_2*PI()/180)</f>
        <v>0.59432135272121756</v>
      </c>
    </row>
    <row r="15" spans="1:11" ht="15.75" thickBot="1" x14ac:dyDescent="0.3">
      <c r="A15" t="s">
        <v>4</v>
      </c>
      <c r="B15" s="1">
        <v>30.666666666666668</v>
      </c>
      <c r="C15" s="1">
        <v>88.25</v>
      </c>
      <c r="G15" t="s">
        <v>761</v>
      </c>
      <c r="H15">
        <f ca="1">SIN(lat_1*PI()/180)*SIN(lat_2*PI()/180)</f>
        <v>0.38818803700675758</v>
      </c>
    </row>
    <row r="16" spans="1:11" ht="15.75" thickBot="1" x14ac:dyDescent="0.3">
      <c r="A16" t="s">
        <v>447</v>
      </c>
      <c r="B16" s="1">
        <v>32.383333333333333</v>
      </c>
      <c r="C16" s="1">
        <v>86.36666666666666</v>
      </c>
      <c r="G16" t="s">
        <v>762</v>
      </c>
      <c r="H16" s="17">
        <f ca="1">ACOS(a+b+c_)*3960</f>
        <v>762.7584029617924</v>
      </c>
      <c r="I16" t="s">
        <v>763</v>
      </c>
    </row>
    <row r="17" spans="1:9" ht="15.75" thickBot="1" x14ac:dyDescent="0.3">
      <c r="A17" t="s">
        <v>5</v>
      </c>
      <c r="B17" s="1">
        <v>32.333333333333336</v>
      </c>
      <c r="C17" s="1">
        <v>87.983333333333334</v>
      </c>
      <c r="H17" s="16">
        <f ca="1">CONVERT(H16,"mi","km")</f>
        <v>1227.5406592561428</v>
      </c>
      <c r="I17" t="s">
        <v>768</v>
      </c>
    </row>
    <row r="18" spans="1:9" x14ac:dyDescent="0.25">
      <c r="A18" t="s">
        <v>6</v>
      </c>
      <c r="B18">
        <v>33.450000000000003</v>
      </c>
      <c r="C18">
        <v>86.1</v>
      </c>
    </row>
    <row r="19" spans="1:9" x14ac:dyDescent="0.25">
      <c r="A19" t="s">
        <v>448</v>
      </c>
      <c r="B19" s="2">
        <v>33.216666666666669</v>
      </c>
      <c r="C19" s="2">
        <v>87.61666666666666</v>
      </c>
    </row>
    <row r="21" spans="1:9" x14ac:dyDescent="0.25">
      <c r="A21" t="s">
        <v>767</v>
      </c>
      <c r="B21" t="s">
        <v>7</v>
      </c>
      <c r="C21" t="s">
        <v>8</v>
      </c>
    </row>
    <row r="22" spans="1:9" x14ac:dyDescent="0.25">
      <c r="A22" t="s">
        <v>449</v>
      </c>
      <c r="B22" s="1">
        <v>61.166666666666664</v>
      </c>
      <c r="C22" s="1">
        <v>150.01666666666668</v>
      </c>
    </row>
    <row r="23" spans="1:9" x14ac:dyDescent="0.25">
      <c r="A23" t="s">
        <v>446</v>
      </c>
      <c r="B23" s="1">
        <v>71.3</v>
      </c>
      <c r="C23" s="1">
        <v>156.78333333333333</v>
      </c>
    </row>
    <row r="24" spans="1:9" x14ac:dyDescent="0.25">
      <c r="A24" t="s">
        <v>450</v>
      </c>
      <c r="B24" s="1">
        <v>64.816666666666663</v>
      </c>
      <c r="C24" s="1">
        <v>147.86666666666667</v>
      </c>
    </row>
    <row r="25" spans="1:9" x14ac:dyDescent="0.25">
      <c r="A25" t="s">
        <v>456</v>
      </c>
      <c r="B25" s="1">
        <v>58.366666666666667</v>
      </c>
      <c r="C25" s="1">
        <v>134.58333333333334</v>
      </c>
    </row>
    <row r="26" spans="1:9" x14ac:dyDescent="0.25">
      <c r="A26" t="s">
        <v>9</v>
      </c>
      <c r="B26" s="1">
        <v>57.75</v>
      </c>
      <c r="C26" s="1">
        <v>152.48333333333332</v>
      </c>
    </row>
    <row r="27" spans="1:9" x14ac:dyDescent="0.25">
      <c r="A27" t="s">
        <v>457</v>
      </c>
      <c r="B27" s="1">
        <v>64.5</v>
      </c>
      <c r="C27" s="1">
        <v>165.43333333333334</v>
      </c>
    </row>
    <row r="29" spans="1:9" x14ac:dyDescent="0.25">
      <c r="A29" t="s">
        <v>10</v>
      </c>
      <c r="B29" t="s">
        <v>7</v>
      </c>
      <c r="C29" t="s">
        <v>8</v>
      </c>
    </row>
    <row r="30" spans="1:9" x14ac:dyDescent="0.25">
      <c r="A30" t="s">
        <v>458</v>
      </c>
      <c r="B30" s="1">
        <v>31.45</v>
      </c>
      <c r="C30" s="1">
        <v>109.6</v>
      </c>
    </row>
    <row r="31" spans="1:9" x14ac:dyDescent="0.25">
      <c r="A31" t="s">
        <v>459</v>
      </c>
      <c r="B31" s="1">
        <v>35.133333333333333</v>
      </c>
      <c r="C31" s="1">
        <v>111.66666666666667</v>
      </c>
    </row>
    <row r="32" spans="1:9" x14ac:dyDescent="0.25">
      <c r="A32" t="s">
        <v>460</v>
      </c>
      <c r="B32" s="1">
        <v>31.583333333333332</v>
      </c>
      <c r="C32" s="1">
        <v>110.33333333333333</v>
      </c>
    </row>
    <row r="33" spans="1:3" x14ac:dyDescent="0.25">
      <c r="A33" t="s">
        <v>461</v>
      </c>
      <c r="B33" s="1">
        <v>35.200000000000003</v>
      </c>
      <c r="C33" s="1">
        <v>114.01666666666667</v>
      </c>
    </row>
    <row r="34" spans="1:3" x14ac:dyDescent="0.25">
      <c r="A34" t="s">
        <v>11</v>
      </c>
      <c r="B34" s="1">
        <v>31.35</v>
      </c>
      <c r="C34" s="1">
        <v>110.91666666666667</v>
      </c>
    </row>
    <row r="35" spans="1:3" x14ac:dyDescent="0.25">
      <c r="A35" t="s">
        <v>462</v>
      </c>
      <c r="B35" s="1">
        <v>33.43333333333333</v>
      </c>
      <c r="C35" s="1">
        <v>112.01666666666667</v>
      </c>
    </row>
    <row r="36" spans="1:3" x14ac:dyDescent="0.25">
      <c r="A36" t="s">
        <v>463</v>
      </c>
      <c r="B36" s="1">
        <v>34.65</v>
      </c>
      <c r="C36" s="1">
        <v>112.43333333333334</v>
      </c>
    </row>
    <row r="37" spans="1:3" x14ac:dyDescent="0.25">
      <c r="A37" t="s">
        <v>464</v>
      </c>
      <c r="B37" s="1">
        <v>32.116666666666667</v>
      </c>
      <c r="C37" s="1">
        <v>110.93333333333334</v>
      </c>
    </row>
    <row r="38" spans="1:3" x14ac:dyDescent="0.25">
      <c r="A38" t="s">
        <v>465</v>
      </c>
      <c r="B38" s="1">
        <v>35.016666666666666</v>
      </c>
      <c r="C38" s="1">
        <v>110.73333333333333</v>
      </c>
    </row>
    <row r="39" spans="1:3" x14ac:dyDescent="0.25">
      <c r="A39" t="s">
        <v>466</v>
      </c>
      <c r="B39" s="1">
        <v>32.65</v>
      </c>
      <c r="C39" s="1">
        <v>114.61666666666666</v>
      </c>
    </row>
    <row r="41" spans="1:3" x14ac:dyDescent="0.25">
      <c r="A41" t="s">
        <v>12</v>
      </c>
      <c r="B41" t="s">
        <v>7</v>
      </c>
      <c r="C41" t="s">
        <v>8</v>
      </c>
    </row>
    <row r="42" spans="1:3" x14ac:dyDescent="0.25">
      <c r="A42" t="s">
        <v>13</v>
      </c>
      <c r="B42" s="1">
        <v>35.950000000000003</v>
      </c>
      <c r="C42" s="1">
        <v>89.95</v>
      </c>
    </row>
    <row r="43" spans="1:3" x14ac:dyDescent="0.25">
      <c r="A43" t="s">
        <v>14</v>
      </c>
      <c r="B43" s="1">
        <v>33.6</v>
      </c>
      <c r="C43" s="1">
        <v>92.816666666666663</v>
      </c>
    </row>
    <row r="44" spans="1:3" x14ac:dyDescent="0.25">
      <c r="A44" t="s">
        <v>156</v>
      </c>
      <c r="B44" s="1">
        <v>33.216666666666669</v>
      </c>
      <c r="C44" s="1">
        <v>92.816666666666663</v>
      </c>
    </row>
    <row r="45" spans="1:3" x14ac:dyDescent="0.25">
      <c r="A45" t="s">
        <v>467</v>
      </c>
      <c r="B45" s="1">
        <v>36</v>
      </c>
      <c r="C45" s="1">
        <v>94.166666666666671</v>
      </c>
    </row>
    <row r="46" spans="1:3" x14ac:dyDescent="0.25">
      <c r="A46" t="s">
        <v>468</v>
      </c>
      <c r="B46" s="1">
        <v>35.333333333333336</v>
      </c>
      <c r="C46" s="1">
        <v>94.36666666666666</v>
      </c>
    </row>
    <row r="47" spans="1:3" x14ac:dyDescent="0.25">
      <c r="A47" t="s">
        <v>15</v>
      </c>
      <c r="B47" s="1">
        <v>34.483333333333334</v>
      </c>
      <c r="C47" s="1">
        <v>93.1</v>
      </c>
    </row>
    <row r="48" spans="1:3" x14ac:dyDescent="0.25">
      <c r="A48" t="s">
        <v>16</v>
      </c>
      <c r="B48" s="1">
        <v>35.833333333333336</v>
      </c>
      <c r="C48" s="1">
        <v>90.7</v>
      </c>
    </row>
    <row r="49" spans="1:3" x14ac:dyDescent="0.25">
      <c r="A49" t="s">
        <v>469</v>
      </c>
      <c r="B49" s="1">
        <v>34.733333333333334</v>
      </c>
      <c r="C49" s="1">
        <v>92.233333333333334</v>
      </c>
    </row>
    <row r="50" spans="1:3" x14ac:dyDescent="0.25">
      <c r="A50" t="s">
        <v>470</v>
      </c>
      <c r="B50" s="1">
        <v>34.299999999999997</v>
      </c>
      <c r="C50" s="1">
        <v>92.083333333333329</v>
      </c>
    </row>
    <row r="51" spans="1:3" x14ac:dyDescent="0.25">
      <c r="A51" t="s">
        <v>471</v>
      </c>
      <c r="B51" s="1">
        <v>33.450000000000003</v>
      </c>
      <c r="C51" s="1">
        <v>93.983333333333334</v>
      </c>
    </row>
    <row r="53" spans="1:3" x14ac:dyDescent="0.25">
      <c r="A53" t="s">
        <v>17</v>
      </c>
      <c r="B53" t="s">
        <v>7</v>
      </c>
      <c r="C53" t="s">
        <v>8</v>
      </c>
    </row>
    <row r="54" spans="1:3" x14ac:dyDescent="0.25">
      <c r="A54" t="s">
        <v>472</v>
      </c>
      <c r="B54" s="1">
        <v>35.416666666666664</v>
      </c>
      <c r="C54" s="1">
        <v>119.05</v>
      </c>
    </row>
    <row r="55" spans="1:3" x14ac:dyDescent="0.25">
      <c r="A55" t="s">
        <v>473</v>
      </c>
      <c r="B55" s="1">
        <v>34.85</v>
      </c>
      <c r="C55" s="1">
        <v>116.78333333333333</v>
      </c>
    </row>
    <row r="56" spans="1:3" x14ac:dyDescent="0.25">
      <c r="A56" t="s">
        <v>474</v>
      </c>
      <c r="B56" s="1">
        <v>33.616666666666667</v>
      </c>
      <c r="C56" s="1">
        <v>114.71666666666667</v>
      </c>
    </row>
    <row r="57" spans="1:3" x14ac:dyDescent="0.25">
      <c r="A57" t="s">
        <v>475</v>
      </c>
      <c r="B57" s="1">
        <v>34.200000000000003</v>
      </c>
      <c r="C57" s="1">
        <v>118.35</v>
      </c>
    </row>
    <row r="58" spans="1:3" x14ac:dyDescent="0.25">
      <c r="A58" t="s">
        <v>18</v>
      </c>
      <c r="B58" s="1">
        <v>39.799999999999997</v>
      </c>
      <c r="C58" s="1">
        <v>121.85</v>
      </c>
    </row>
    <row r="59" spans="1:3" x14ac:dyDescent="0.25">
      <c r="A59" t="s">
        <v>19</v>
      </c>
      <c r="B59" s="1">
        <v>37.966666666666669</v>
      </c>
      <c r="C59" s="1">
        <v>121.98333333333333</v>
      </c>
    </row>
    <row r="60" spans="1:3" x14ac:dyDescent="0.25">
      <c r="A60" t="s">
        <v>20</v>
      </c>
      <c r="B60" s="1">
        <v>34.083333333333336</v>
      </c>
      <c r="C60" s="1">
        <v>117.86666666666666</v>
      </c>
    </row>
    <row r="61" spans="1:3" x14ac:dyDescent="0.25">
      <c r="A61" t="s">
        <v>476</v>
      </c>
      <c r="B61" s="1">
        <v>41.766666666666666</v>
      </c>
      <c r="C61" s="1">
        <v>124.2</v>
      </c>
    </row>
    <row r="62" spans="1:3" x14ac:dyDescent="0.25">
      <c r="A62" t="s">
        <v>21</v>
      </c>
      <c r="B62" s="1">
        <v>33.93333333333333</v>
      </c>
      <c r="C62" s="1">
        <v>118.13333333333334</v>
      </c>
    </row>
    <row r="63" spans="1:3" x14ac:dyDescent="0.25">
      <c r="A63" t="s">
        <v>22</v>
      </c>
      <c r="B63" s="1">
        <v>32.81666666666667</v>
      </c>
      <c r="C63" s="1">
        <v>116.96666666666667</v>
      </c>
    </row>
    <row r="64" spans="1:3" x14ac:dyDescent="0.25">
      <c r="A64" t="s">
        <v>477</v>
      </c>
      <c r="B64" s="1">
        <v>32.81666666666667</v>
      </c>
      <c r="C64" s="1">
        <v>115.66666666666667</v>
      </c>
    </row>
    <row r="65" spans="1:3" x14ac:dyDescent="0.25">
      <c r="A65" t="s">
        <v>23</v>
      </c>
      <c r="B65" s="1">
        <v>33.116666666666667</v>
      </c>
      <c r="C65" s="1">
        <v>117.08333333333333</v>
      </c>
    </row>
    <row r="66" spans="1:3" x14ac:dyDescent="0.25">
      <c r="A66" t="s">
        <v>478</v>
      </c>
      <c r="B66" s="1">
        <v>40.983333333333334</v>
      </c>
      <c r="C66" s="1">
        <v>124.1</v>
      </c>
    </row>
    <row r="67" spans="1:3" x14ac:dyDescent="0.25">
      <c r="A67" t="s">
        <v>24</v>
      </c>
      <c r="B67" s="1">
        <v>38.266666666666666</v>
      </c>
      <c r="C67" s="1">
        <v>121.93333333333334</v>
      </c>
    </row>
    <row r="68" spans="1:3" x14ac:dyDescent="0.25">
      <c r="A68" t="s">
        <v>479</v>
      </c>
      <c r="B68" s="1">
        <v>36.766666666666666</v>
      </c>
      <c r="C68" s="1">
        <v>119.71666666666667</v>
      </c>
    </row>
    <row r="69" spans="1:3" x14ac:dyDescent="0.25">
      <c r="A69" t="s">
        <v>25</v>
      </c>
      <c r="B69" s="1">
        <v>38.06666666666667</v>
      </c>
      <c r="C69" s="1">
        <v>122.5</v>
      </c>
    </row>
    <row r="70" spans="1:3" x14ac:dyDescent="0.25">
      <c r="A70" t="s">
        <v>26</v>
      </c>
      <c r="B70" s="1">
        <v>33.549999999999997</v>
      </c>
      <c r="C70" s="1">
        <v>117.78333333333333</v>
      </c>
    </row>
    <row r="71" spans="1:3" x14ac:dyDescent="0.25">
      <c r="A71" t="s">
        <v>27</v>
      </c>
      <c r="B71" s="1">
        <v>37.700000000000003</v>
      </c>
      <c r="C71" s="1">
        <v>121.95</v>
      </c>
    </row>
    <row r="72" spans="1:3" x14ac:dyDescent="0.25">
      <c r="A72" t="s">
        <v>28</v>
      </c>
      <c r="B72" s="1">
        <v>34.716666666666669</v>
      </c>
      <c r="C72" s="1">
        <v>120.56666666666666</v>
      </c>
    </row>
    <row r="73" spans="1:3" x14ac:dyDescent="0.25">
      <c r="A73" t="s">
        <v>480</v>
      </c>
      <c r="B73" s="1">
        <v>33.81666666666667</v>
      </c>
      <c r="C73" s="1">
        <v>118.15</v>
      </c>
    </row>
    <row r="74" spans="1:3" x14ac:dyDescent="0.25">
      <c r="A74" t="s">
        <v>481</v>
      </c>
      <c r="B74" s="1">
        <v>33.93333333333333</v>
      </c>
      <c r="C74" s="1">
        <v>118.4</v>
      </c>
    </row>
    <row r="75" spans="1:3" x14ac:dyDescent="0.25">
      <c r="A75" t="s">
        <v>482</v>
      </c>
      <c r="B75" s="1">
        <v>34.049999999999997</v>
      </c>
      <c r="C75" s="1">
        <v>118.23333333333333</v>
      </c>
    </row>
    <row r="76" spans="1:3" x14ac:dyDescent="0.25">
      <c r="A76" t="s">
        <v>29</v>
      </c>
      <c r="B76" s="1">
        <v>37.383333333333333</v>
      </c>
      <c r="C76" s="1">
        <v>120.56666666666666</v>
      </c>
    </row>
    <row r="77" spans="1:3" x14ac:dyDescent="0.25">
      <c r="A77" t="s">
        <v>30</v>
      </c>
      <c r="B77" s="1">
        <v>37.65</v>
      </c>
      <c r="C77" s="1">
        <v>121</v>
      </c>
    </row>
    <row r="78" spans="1:3" x14ac:dyDescent="0.25">
      <c r="A78" t="s">
        <v>31</v>
      </c>
      <c r="B78" s="1">
        <v>36.6</v>
      </c>
      <c r="C78" s="1">
        <v>121.9</v>
      </c>
    </row>
    <row r="79" spans="1:3" x14ac:dyDescent="0.25">
      <c r="A79" t="s">
        <v>32</v>
      </c>
      <c r="B79" s="1">
        <v>38.216666666666669</v>
      </c>
      <c r="C79" s="1">
        <v>122.28333333333333</v>
      </c>
    </row>
    <row r="80" spans="1:3" x14ac:dyDescent="0.25">
      <c r="A80" t="s">
        <v>483</v>
      </c>
      <c r="B80" s="1">
        <v>34.6</v>
      </c>
      <c r="C80" s="1">
        <v>114.61666666666666</v>
      </c>
    </row>
    <row r="81" spans="1:3" x14ac:dyDescent="0.25">
      <c r="A81" t="s">
        <v>484</v>
      </c>
      <c r="B81" s="1">
        <v>37.81666666666667</v>
      </c>
      <c r="C81" s="1">
        <v>122.31666666666666</v>
      </c>
    </row>
    <row r="82" spans="1:3" x14ac:dyDescent="0.25">
      <c r="A82" t="s">
        <v>33</v>
      </c>
      <c r="B82" s="1">
        <v>33.233333333333334</v>
      </c>
      <c r="C82" s="1">
        <v>117.41666666666667</v>
      </c>
    </row>
    <row r="83" spans="1:3" x14ac:dyDescent="0.25">
      <c r="A83" t="s">
        <v>34</v>
      </c>
      <c r="B83" s="1">
        <v>34.049999999999997</v>
      </c>
      <c r="C83" s="1">
        <v>117.6</v>
      </c>
    </row>
    <row r="84" spans="1:3" x14ac:dyDescent="0.25">
      <c r="A84" t="s">
        <v>35</v>
      </c>
      <c r="B84" s="1">
        <v>34.200000000000003</v>
      </c>
      <c r="C84" s="1">
        <v>119.18333333333334</v>
      </c>
    </row>
    <row r="85" spans="1:3" x14ac:dyDescent="0.25">
      <c r="A85" t="s">
        <v>485</v>
      </c>
      <c r="B85" s="1">
        <v>34.633333333333333</v>
      </c>
      <c r="C85" s="1">
        <v>118.1</v>
      </c>
    </row>
    <row r="86" spans="1:3" x14ac:dyDescent="0.25">
      <c r="A86" t="s">
        <v>36</v>
      </c>
      <c r="B86" s="1">
        <v>33.81666666666667</v>
      </c>
      <c r="C86" s="1">
        <v>116.53333333333333</v>
      </c>
    </row>
    <row r="87" spans="1:3" x14ac:dyDescent="0.25">
      <c r="A87" t="s">
        <v>37</v>
      </c>
      <c r="B87" s="1">
        <v>34.15</v>
      </c>
      <c r="C87" s="1">
        <v>118.15</v>
      </c>
    </row>
    <row r="88" spans="1:3" x14ac:dyDescent="0.25">
      <c r="A88" t="s">
        <v>38</v>
      </c>
      <c r="B88" s="1">
        <v>38.233333333333334</v>
      </c>
      <c r="C88" s="1">
        <v>122.63333333333334</v>
      </c>
    </row>
    <row r="89" spans="1:3" x14ac:dyDescent="0.25">
      <c r="A89" t="s">
        <v>39</v>
      </c>
      <c r="B89" s="1">
        <v>34.049999999999997</v>
      </c>
      <c r="C89" s="1">
        <v>117.75</v>
      </c>
    </row>
    <row r="90" spans="1:3" x14ac:dyDescent="0.25">
      <c r="A90" t="s">
        <v>486</v>
      </c>
      <c r="B90" s="1">
        <v>40.516666666666666</v>
      </c>
      <c r="C90" s="1">
        <v>122.3</v>
      </c>
    </row>
    <row r="91" spans="1:3" x14ac:dyDescent="0.25">
      <c r="A91" t="s">
        <v>40</v>
      </c>
      <c r="B91" s="1">
        <v>34.049999999999997</v>
      </c>
      <c r="C91" s="1">
        <v>117.18333333333334</v>
      </c>
    </row>
    <row r="92" spans="1:3" x14ac:dyDescent="0.25">
      <c r="A92" t="s">
        <v>41</v>
      </c>
      <c r="B92" s="1">
        <v>37.93333333333333</v>
      </c>
      <c r="C92" s="1">
        <v>122.35</v>
      </c>
    </row>
    <row r="93" spans="1:3" x14ac:dyDescent="0.25">
      <c r="A93" t="s">
        <v>487</v>
      </c>
      <c r="B93" s="1">
        <v>33.9</v>
      </c>
      <c r="C93" s="1">
        <v>117.25</v>
      </c>
    </row>
    <row r="94" spans="1:3" x14ac:dyDescent="0.25">
      <c r="A94" t="s">
        <v>488</v>
      </c>
      <c r="B94" s="1">
        <v>38.516666666666666</v>
      </c>
      <c r="C94" s="1">
        <v>121.5</v>
      </c>
    </row>
    <row r="95" spans="1:3" x14ac:dyDescent="0.25">
      <c r="A95" t="s">
        <v>489</v>
      </c>
      <c r="B95" s="1">
        <v>36.666666666666664</v>
      </c>
      <c r="C95" s="1">
        <v>121.6</v>
      </c>
    </row>
    <row r="96" spans="1:3" x14ac:dyDescent="0.25">
      <c r="A96" t="s">
        <v>42</v>
      </c>
      <c r="B96" s="1">
        <v>34.133333333333333</v>
      </c>
      <c r="C96" s="1">
        <v>117.26666666666667</v>
      </c>
    </row>
    <row r="97" spans="1:3" x14ac:dyDescent="0.25">
      <c r="A97" t="s">
        <v>490</v>
      </c>
      <c r="B97" s="1">
        <v>32.733333333333334</v>
      </c>
      <c r="C97" s="1">
        <v>117.16666666666667</v>
      </c>
    </row>
    <row r="98" spans="1:3" x14ac:dyDescent="0.25">
      <c r="A98" t="s">
        <v>43</v>
      </c>
      <c r="B98" s="1">
        <v>34.283333333333331</v>
      </c>
      <c r="C98" s="1">
        <v>118.46666666666667</v>
      </c>
    </row>
    <row r="99" spans="1:3" x14ac:dyDescent="0.25">
      <c r="A99" t="s">
        <v>491</v>
      </c>
      <c r="B99" s="1">
        <v>37.616666666666667</v>
      </c>
      <c r="C99" s="1">
        <v>122.38333333333334</v>
      </c>
    </row>
    <row r="100" spans="1:3" x14ac:dyDescent="0.25">
      <c r="A100" t="s">
        <v>44</v>
      </c>
      <c r="B100" s="1">
        <v>37.766666666666666</v>
      </c>
      <c r="C100" s="1">
        <v>122.43333333333334</v>
      </c>
    </row>
    <row r="101" spans="1:3" x14ac:dyDescent="0.25">
      <c r="A101" t="s">
        <v>492</v>
      </c>
      <c r="B101" s="1">
        <v>37.366666666666667</v>
      </c>
      <c r="C101" s="1">
        <v>121.93333333333334</v>
      </c>
    </row>
    <row r="102" spans="1:3" x14ac:dyDescent="0.25">
      <c r="A102" t="s">
        <v>45</v>
      </c>
      <c r="B102" s="1">
        <v>35.333333333333336</v>
      </c>
      <c r="C102" s="1">
        <v>120.71666666666667</v>
      </c>
    </row>
    <row r="103" spans="1:3" x14ac:dyDescent="0.25">
      <c r="A103" t="s">
        <v>493</v>
      </c>
      <c r="B103" s="1">
        <v>33.75</v>
      </c>
      <c r="C103" s="1">
        <v>117.86666666666666</v>
      </c>
    </row>
    <row r="104" spans="1:3" x14ac:dyDescent="0.25">
      <c r="A104" t="s">
        <v>494</v>
      </c>
      <c r="B104" s="1">
        <v>34.43333333333333</v>
      </c>
      <c r="C104" s="1">
        <v>119.83333333333333</v>
      </c>
    </row>
    <row r="105" spans="1:3" x14ac:dyDescent="0.25">
      <c r="A105" t="s">
        <v>46</v>
      </c>
      <c r="B105" s="1">
        <v>36.983333333333334</v>
      </c>
      <c r="C105" s="1">
        <v>122.01666666666667</v>
      </c>
    </row>
    <row r="106" spans="1:3" x14ac:dyDescent="0.25">
      <c r="A106" t="s">
        <v>495</v>
      </c>
      <c r="B106" s="1">
        <v>34.9</v>
      </c>
      <c r="C106" s="1">
        <v>120.45</v>
      </c>
    </row>
    <row r="107" spans="1:3" x14ac:dyDescent="0.25">
      <c r="A107" t="s">
        <v>751</v>
      </c>
      <c r="B107" s="1">
        <v>34.016666666666666</v>
      </c>
      <c r="C107" s="1">
        <v>118.48333333333333</v>
      </c>
    </row>
    <row r="108" spans="1:3" x14ac:dyDescent="0.25">
      <c r="A108" t="s">
        <v>47</v>
      </c>
      <c r="B108" s="1">
        <v>34.35</v>
      </c>
      <c r="C108" s="1">
        <v>119.08333333333333</v>
      </c>
    </row>
    <row r="109" spans="1:3" x14ac:dyDescent="0.25">
      <c r="A109" t="s">
        <v>48</v>
      </c>
      <c r="B109" s="1">
        <v>38.516666666666666</v>
      </c>
      <c r="C109" s="1">
        <v>122.81666666666666</v>
      </c>
    </row>
    <row r="110" spans="1:3" x14ac:dyDescent="0.25">
      <c r="A110" t="s">
        <v>496</v>
      </c>
      <c r="B110" s="1">
        <v>37.9</v>
      </c>
      <c r="C110" s="1">
        <v>121.25</v>
      </c>
    </row>
    <row r="111" spans="1:3" x14ac:dyDescent="0.25">
      <c r="A111" t="s">
        <v>49</v>
      </c>
      <c r="B111" s="1">
        <v>39.15</v>
      </c>
      <c r="C111" s="1">
        <v>123.2</v>
      </c>
    </row>
    <row r="112" spans="1:3" x14ac:dyDescent="0.25">
      <c r="A112" t="s">
        <v>50</v>
      </c>
      <c r="B112" s="1">
        <v>36.333333333333336</v>
      </c>
      <c r="C112" s="1">
        <v>119.3</v>
      </c>
    </row>
    <row r="113" spans="1:3" x14ac:dyDescent="0.25">
      <c r="A113" t="s">
        <v>51</v>
      </c>
      <c r="B113" s="1">
        <v>41.716666666666669</v>
      </c>
      <c r="C113" s="1">
        <v>122.63333333333334</v>
      </c>
    </row>
    <row r="114" spans="1:3" x14ac:dyDescent="0.25">
      <c r="A114" t="s">
        <v>52</v>
      </c>
      <c r="B114" s="1">
        <v>39.133333333333333</v>
      </c>
      <c r="C114" s="1">
        <v>121.6</v>
      </c>
    </row>
    <row r="116" spans="1:3" x14ac:dyDescent="0.25">
      <c r="A116" t="s">
        <v>53</v>
      </c>
      <c r="B116" t="s">
        <v>7</v>
      </c>
      <c r="C116" t="s">
        <v>8</v>
      </c>
    </row>
    <row r="117" spans="1:3" x14ac:dyDescent="0.25">
      <c r="A117" t="s">
        <v>497</v>
      </c>
      <c r="B117" s="1">
        <v>37.450000000000003</v>
      </c>
      <c r="C117" s="1">
        <v>105.86666666666666</v>
      </c>
    </row>
    <row r="118" spans="1:3" x14ac:dyDescent="0.25">
      <c r="A118" t="s">
        <v>54</v>
      </c>
      <c r="B118" s="1">
        <v>40</v>
      </c>
      <c r="C118" s="1">
        <v>105.26666666666667</v>
      </c>
    </row>
    <row r="119" spans="1:3" x14ac:dyDescent="0.25">
      <c r="A119" t="s">
        <v>498</v>
      </c>
      <c r="B119" s="1">
        <v>38.81666666666667</v>
      </c>
      <c r="C119" s="1">
        <v>104.71666666666667</v>
      </c>
    </row>
    <row r="120" spans="1:3" x14ac:dyDescent="0.25">
      <c r="A120" t="s">
        <v>499</v>
      </c>
      <c r="B120" s="1">
        <v>39.75</v>
      </c>
      <c r="C120" s="1">
        <v>104.86666666666666</v>
      </c>
    </row>
    <row r="121" spans="1:3" x14ac:dyDescent="0.25">
      <c r="A121" t="s">
        <v>55</v>
      </c>
      <c r="B121" s="1">
        <v>37.283333333333331</v>
      </c>
      <c r="C121" s="1">
        <v>107.88333333333334</v>
      </c>
    </row>
    <row r="122" spans="1:3" x14ac:dyDescent="0.25">
      <c r="A122" t="s">
        <v>56</v>
      </c>
      <c r="B122" s="1">
        <v>40.75</v>
      </c>
      <c r="C122" s="1">
        <v>105.08333333333333</v>
      </c>
    </row>
    <row r="123" spans="1:3" x14ac:dyDescent="0.25">
      <c r="A123" t="s">
        <v>500</v>
      </c>
      <c r="B123" s="1">
        <v>39.116666666666667</v>
      </c>
      <c r="C123" s="1">
        <v>108.53333333333333</v>
      </c>
    </row>
    <row r="124" spans="1:3" x14ac:dyDescent="0.25">
      <c r="A124" t="s">
        <v>57</v>
      </c>
      <c r="B124" s="1">
        <v>40.43333333333333</v>
      </c>
      <c r="C124" s="1">
        <v>104.63333333333334</v>
      </c>
    </row>
    <row r="125" spans="1:3" x14ac:dyDescent="0.25">
      <c r="A125" t="s">
        <v>501</v>
      </c>
      <c r="B125" s="1">
        <v>38.049999999999997</v>
      </c>
      <c r="C125" s="1">
        <v>103.5</v>
      </c>
    </row>
    <row r="126" spans="1:3" x14ac:dyDescent="0.25">
      <c r="A126" t="s">
        <v>58</v>
      </c>
      <c r="B126" s="1">
        <v>39.25</v>
      </c>
      <c r="C126" s="1">
        <v>106.3</v>
      </c>
    </row>
    <row r="127" spans="1:3" x14ac:dyDescent="0.25">
      <c r="A127" t="s">
        <v>502</v>
      </c>
      <c r="B127" s="1">
        <v>38.299999999999997</v>
      </c>
      <c r="C127" s="1">
        <v>104.48333333333333</v>
      </c>
    </row>
    <row r="128" spans="1:3" x14ac:dyDescent="0.25">
      <c r="A128" t="s">
        <v>59</v>
      </c>
      <c r="B128" s="1">
        <v>40.616666666666667</v>
      </c>
      <c r="C128" s="1">
        <v>103.2</v>
      </c>
    </row>
    <row r="129" spans="1:3" x14ac:dyDescent="0.25">
      <c r="A129" t="s">
        <v>60</v>
      </c>
      <c r="B129" s="1">
        <v>37.25</v>
      </c>
      <c r="C129" s="1">
        <v>104.33333333333333</v>
      </c>
    </row>
    <row r="131" spans="1:3" x14ac:dyDescent="0.25">
      <c r="A131" t="s">
        <v>61</v>
      </c>
      <c r="B131" t="s">
        <v>7</v>
      </c>
      <c r="C131" t="s">
        <v>8</v>
      </c>
    </row>
    <row r="132" spans="1:3" x14ac:dyDescent="0.25">
      <c r="A132" t="s">
        <v>503</v>
      </c>
      <c r="B132" s="1">
        <v>41.18333333333333</v>
      </c>
      <c r="C132" s="1">
        <v>73.183333333333337</v>
      </c>
    </row>
    <row r="133" spans="1:3" x14ac:dyDescent="0.25">
      <c r="A133" t="s">
        <v>62</v>
      </c>
      <c r="B133" s="1">
        <v>41.733333333333334</v>
      </c>
      <c r="C133" s="1">
        <v>72.650000000000006</v>
      </c>
    </row>
    <row r="134" spans="1:3" x14ac:dyDescent="0.25">
      <c r="A134" t="s">
        <v>504</v>
      </c>
      <c r="B134" s="1">
        <v>41.31666666666667</v>
      </c>
      <c r="C134" s="1">
        <v>73.916666666666671</v>
      </c>
    </row>
    <row r="135" spans="1:3" x14ac:dyDescent="0.25">
      <c r="A135" t="s">
        <v>63</v>
      </c>
      <c r="B135" s="1">
        <v>41.35</v>
      </c>
      <c r="C135" s="1">
        <v>72.099999999999994</v>
      </c>
    </row>
    <row r="136" spans="1:3" x14ac:dyDescent="0.25">
      <c r="A136" t="s">
        <v>64</v>
      </c>
      <c r="B136" s="1">
        <v>41.116666666666667</v>
      </c>
      <c r="C136" s="1">
        <v>73.416666666666671</v>
      </c>
    </row>
    <row r="137" spans="1:3" x14ac:dyDescent="0.25">
      <c r="A137" t="s">
        <v>65</v>
      </c>
      <c r="B137" s="1">
        <v>41.533333333333331</v>
      </c>
      <c r="C137" s="1">
        <v>72.066666666666663</v>
      </c>
    </row>
    <row r="138" spans="1:3" x14ac:dyDescent="0.25">
      <c r="A138" t="s">
        <v>66</v>
      </c>
      <c r="B138" s="1">
        <v>41.583333333333336</v>
      </c>
      <c r="C138" s="1">
        <v>73.066666666666663</v>
      </c>
    </row>
    <row r="139" spans="1:3" x14ac:dyDescent="0.25">
      <c r="A139" t="s">
        <v>67</v>
      </c>
      <c r="B139" s="1">
        <v>41.93333333333333</v>
      </c>
      <c r="C139" s="1">
        <v>72.683333333333337</v>
      </c>
    </row>
    <row r="141" spans="1:3" x14ac:dyDescent="0.25">
      <c r="A141" t="s">
        <v>68</v>
      </c>
      <c r="B141" t="s">
        <v>7</v>
      </c>
      <c r="C141" t="s">
        <v>8</v>
      </c>
    </row>
    <row r="142" spans="1:3" x14ac:dyDescent="0.25">
      <c r="A142" t="s">
        <v>69</v>
      </c>
      <c r="B142" s="1">
        <v>39.133333333333333</v>
      </c>
      <c r="C142" s="1">
        <v>75.466666666666669</v>
      </c>
    </row>
    <row r="143" spans="1:3" x14ac:dyDescent="0.25">
      <c r="A143" t="s">
        <v>505</v>
      </c>
      <c r="B143" s="1">
        <v>39.666666666666664</v>
      </c>
      <c r="C143" s="1">
        <v>75.599999999999994</v>
      </c>
    </row>
    <row r="145" spans="1:3" x14ac:dyDescent="0.25">
      <c r="A145" t="s">
        <v>70</v>
      </c>
      <c r="B145" t="s">
        <v>7</v>
      </c>
      <c r="C145" t="s">
        <v>8</v>
      </c>
    </row>
    <row r="146" spans="1:3" x14ac:dyDescent="0.25">
      <c r="A146" t="s">
        <v>71</v>
      </c>
      <c r="B146" s="1">
        <v>38.083333333333336</v>
      </c>
      <c r="C146" s="1">
        <v>76.083333333333329</v>
      </c>
    </row>
    <row r="147" spans="1:3" x14ac:dyDescent="0.25">
      <c r="A147" t="s">
        <v>506</v>
      </c>
      <c r="B147" s="1">
        <v>38.85</v>
      </c>
      <c r="C147" s="1">
        <v>77.033333333333331</v>
      </c>
    </row>
    <row r="149" spans="1:3" x14ac:dyDescent="0.25">
      <c r="A149" t="s">
        <v>72</v>
      </c>
      <c r="B149" t="s">
        <v>7</v>
      </c>
      <c r="C149" t="s">
        <v>8</v>
      </c>
    </row>
    <row r="150" spans="1:3" x14ac:dyDescent="0.25">
      <c r="A150" t="s">
        <v>73</v>
      </c>
      <c r="B150" s="1">
        <v>26.65</v>
      </c>
      <c r="C150" s="1">
        <v>80.650000000000006</v>
      </c>
    </row>
    <row r="151" spans="1:3" x14ac:dyDescent="0.25">
      <c r="A151" t="s">
        <v>507</v>
      </c>
      <c r="B151" s="1">
        <v>28.483333333333334</v>
      </c>
      <c r="C151" s="1">
        <v>80.566666666666663</v>
      </c>
    </row>
    <row r="152" spans="1:3" x14ac:dyDescent="0.25">
      <c r="A152" t="s">
        <v>508</v>
      </c>
      <c r="B152" s="1">
        <v>29.183333333333334</v>
      </c>
      <c r="C152" s="1">
        <v>81.05</v>
      </c>
    </row>
    <row r="153" spans="1:3" x14ac:dyDescent="0.25">
      <c r="A153" t="s">
        <v>74</v>
      </c>
      <c r="B153" s="1">
        <v>26.066666666666666</v>
      </c>
      <c r="C153" s="1">
        <v>80.150000000000006</v>
      </c>
    </row>
    <row r="154" spans="1:3" x14ac:dyDescent="0.25">
      <c r="A154" t="s">
        <v>509</v>
      </c>
      <c r="B154" s="1">
        <v>26.583333333333332</v>
      </c>
      <c r="C154" s="1">
        <v>81.86666666666666</v>
      </c>
    </row>
    <row r="155" spans="1:3" x14ac:dyDescent="0.25">
      <c r="A155" t="s">
        <v>75</v>
      </c>
      <c r="B155" s="1">
        <v>27.466666666666665</v>
      </c>
      <c r="C155" s="1">
        <v>80.349999999999994</v>
      </c>
    </row>
    <row r="156" spans="1:3" x14ac:dyDescent="0.25">
      <c r="A156" t="s">
        <v>92</v>
      </c>
      <c r="B156" s="1">
        <v>29.683333333333334</v>
      </c>
      <c r="C156" s="1">
        <v>82.266666666666666</v>
      </c>
    </row>
    <row r="157" spans="1:3" x14ac:dyDescent="0.25">
      <c r="A157" t="s">
        <v>298</v>
      </c>
      <c r="B157" s="1">
        <v>30.5</v>
      </c>
      <c r="C157" s="1">
        <v>81.7</v>
      </c>
    </row>
    <row r="158" spans="1:3" x14ac:dyDescent="0.25">
      <c r="A158" t="s">
        <v>510</v>
      </c>
      <c r="B158" s="1">
        <v>24.55</v>
      </c>
      <c r="C158" s="1">
        <v>81.75</v>
      </c>
    </row>
    <row r="159" spans="1:3" x14ac:dyDescent="0.25">
      <c r="A159" t="s">
        <v>511</v>
      </c>
      <c r="B159" s="1">
        <v>28.033333333333335</v>
      </c>
      <c r="C159" s="1">
        <v>81.95</v>
      </c>
    </row>
    <row r="160" spans="1:3" x14ac:dyDescent="0.25">
      <c r="A160" t="s">
        <v>512</v>
      </c>
      <c r="B160" s="1">
        <v>25.8</v>
      </c>
      <c r="C160" s="1">
        <v>80.266666666666666</v>
      </c>
    </row>
    <row r="161" spans="1:3" x14ac:dyDescent="0.25">
      <c r="A161" t="s">
        <v>76</v>
      </c>
      <c r="B161" s="1">
        <v>25.783333333333335</v>
      </c>
      <c r="C161" s="1">
        <v>80.283333333333331</v>
      </c>
    </row>
    <row r="162" spans="1:3" x14ac:dyDescent="0.25">
      <c r="A162" t="s">
        <v>77</v>
      </c>
      <c r="B162" s="1">
        <v>29.183333333333334</v>
      </c>
      <c r="C162" s="1">
        <v>82.13333333333334</v>
      </c>
    </row>
    <row r="163" spans="1:3" x14ac:dyDescent="0.25">
      <c r="A163" t="s">
        <v>513</v>
      </c>
      <c r="B163" s="1">
        <v>28.55</v>
      </c>
      <c r="C163" s="1">
        <v>81.38333333333334</v>
      </c>
    </row>
    <row r="164" spans="1:3" x14ac:dyDescent="0.25">
      <c r="A164" t="s">
        <v>78</v>
      </c>
      <c r="B164" s="1">
        <v>30.066666666666666</v>
      </c>
      <c r="C164" s="1">
        <v>85.583333333333329</v>
      </c>
    </row>
    <row r="165" spans="1:3" x14ac:dyDescent="0.25">
      <c r="A165" t="s">
        <v>79</v>
      </c>
      <c r="B165" s="1">
        <v>30.416666666666668</v>
      </c>
      <c r="C165" s="1">
        <v>87.216666666666669</v>
      </c>
    </row>
    <row r="166" spans="1:3" x14ac:dyDescent="0.25">
      <c r="A166" t="s">
        <v>80</v>
      </c>
      <c r="B166" s="1">
        <v>29.966666666666665</v>
      </c>
      <c r="C166" s="1">
        <v>81.333333333333329</v>
      </c>
    </row>
    <row r="167" spans="1:3" x14ac:dyDescent="0.25">
      <c r="A167" t="s">
        <v>81</v>
      </c>
      <c r="B167" s="1">
        <v>27.766666666666666</v>
      </c>
      <c r="C167" s="1">
        <v>83.333333333333329</v>
      </c>
    </row>
    <row r="168" spans="1:3" x14ac:dyDescent="0.25">
      <c r="A168" t="s">
        <v>82</v>
      </c>
      <c r="B168" s="1">
        <v>28.766666666666666</v>
      </c>
      <c r="C168" s="1">
        <v>81.283333333333331</v>
      </c>
    </row>
    <row r="169" spans="1:3" x14ac:dyDescent="0.25">
      <c r="A169" t="s">
        <v>83</v>
      </c>
      <c r="B169" s="1">
        <v>27.383333333333333</v>
      </c>
      <c r="C169" s="1">
        <v>82.55</v>
      </c>
    </row>
    <row r="170" spans="1:3" x14ac:dyDescent="0.25">
      <c r="A170" t="s">
        <v>514</v>
      </c>
      <c r="B170" s="1">
        <v>30.383333333333333</v>
      </c>
      <c r="C170" s="1">
        <v>84.36666666666666</v>
      </c>
    </row>
    <row r="171" spans="1:3" x14ac:dyDescent="0.25">
      <c r="A171" t="s">
        <v>515</v>
      </c>
      <c r="B171" s="1">
        <v>27.966666666666665</v>
      </c>
      <c r="C171" s="1">
        <v>82.533333333333331</v>
      </c>
    </row>
    <row r="172" spans="1:3" x14ac:dyDescent="0.25">
      <c r="A172" t="s">
        <v>516</v>
      </c>
      <c r="B172" s="1">
        <v>26.683333333333334</v>
      </c>
      <c r="C172" s="1">
        <v>80.099999999999994</v>
      </c>
    </row>
    <row r="174" spans="1:3" x14ac:dyDescent="0.25">
      <c r="A174" t="s">
        <v>84</v>
      </c>
      <c r="B174" t="s">
        <v>7</v>
      </c>
      <c r="C174" t="s">
        <v>8</v>
      </c>
    </row>
    <row r="175" spans="1:3" x14ac:dyDescent="0.25">
      <c r="A175" t="s">
        <v>85</v>
      </c>
      <c r="B175" s="1">
        <v>31.6</v>
      </c>
      <c r="C175" s="1">
        <v>84.083333333333329</v>
      </c>
    </row>
    <row r="176" spans="1:3" x14ac:dyDescent="0.25">
      <c r="A176" t="s">
        <v>86</v>
      </c>
      <c r="B176" s="1">
        <v>32.049999999999997</v>
      </c>
      <c r="C176" s="1">
        <v>84.233333333333334</v>
      </c>
    </row>
    <row r="177" spans="1:3" x14ac:dyDescent="0.25">
      <c r="A177" t="s">
        <v>87</v>
      </c>
      <c r="B177" s="1">
        <v>33.950000000000003</v>
      </c>
      <c r="C177" s="1">
        <v>83.316666666666663</v>
      </c>
    </row>
    <row r="178" spans="1:3" x14ac:dyDescent="0.25">
      <c r="A178" t="s">
        <v>517</v>
      </c>
      <c r="B178" s="1">
        <v>33.65</v>
      </c>
      <c r="C178" s="1">
        <v>84.433333333333337</v>
      </c>
    </row>
    <row r="179" spans="1:3" x14ac:dyDescent="0.25">
      <c r="A179" t="s">
        <v>518</v>
      </c>
      <c r="B179" s="1">
        <v>33.366666666666667</v>
      </c>
      <c r="C179" s="1">
        <v>81.966666666666669</v>
      </c>
    </row>
    <row r="180" spans="1:3" x14ac:dyDescent="0.25">
      <c r="A180" t="s">
        <v>88</v>
      </c>
      <c r="B180" s="1">
        <v>31.25</v>
      </c>
      <c r="C180" s="1">
        <v>81.483333333333334</v>
      </c>
    </row>
    <row r="181" spans="1:3" x14ac:dyDescent="0.25">
      <c r="A181" t="s">
        <v>89</v>
      </c>
      <c r="B181" s="1">
        <v>32.516666666666666</v>
      </c>
      <c r="C181" s="1">
        <v>84.933333333333337</v>
      </c>
    </row>
    <row r="182" spans="1:3" x14ac:dyDescent="0.25">
      <c r="A182" t="s">
        <v>90</v>
      </c>
      <c r="B182" s="1">
        <v>34.56666666666667</v>
      </c>
      <c r="C182" s="1">
        <v>84.95</v>
      </c>
    </row>
    <row r="183" spans="1:3" x14ac:dyDescent="0.25">
      <c r="A183" t="s">
        <v>91</v>
      </c>
      <c r="B183" s="1">
        <v>32.333333333333336</v>
      </c>
      <c r="C183" s="1">
        <v>82.9</v>
      </c>
    </row>
    <row r="184" spans="1:3" x14ac:dyDescent="0.25">
      <c r="A184" t="s">
        <v>92</v>
      </c>
      <c r="B184" s="1">
        <v>34.18333333333333</v>
      </c>
      <c r="C184" s="1">
        <v>83.683333333333337</v>
      </c>
    </row>
    <row r="185" spans="1:3" x14ac:dyDescent="0.25">
      <c r="A185" t="s">
        <v>93</v>
      </c>
      <c r="B185" s="1">
        <v>33.216666666666669</v>
      </c>
      <c r="C185" s="1">
        <v>84.266666666666666</v>
      </c>
    </row>
    <row r="186" spans="1:3" x14ac:dyDescent="0.25">
      <c r="A186" t="s">
        <v>94</v>
      </c>
      <c r="B186" s="1">
        <v>33.016666666666666</v>
      </c>
      <c r="C186" s="1">
        <v>85.066666666666663</v>
      </c>
    </row>
    <row r="187" spans="1:3" x14ac:dyDescent="0.25">
      <c r="A187" t="s">
        <v>519</v>
      </c>
      <c r="B187" s="1">
        <v>32.700000000000003</v>
      </c>
      <c r="C187" s="1">
        <v>83.65</v>
      </c>
    </row>
    <row r="188" spans="1:3" x14ac:dyDescent="0.25">
      <c r="A188" t="s">
        <v>95</v>
      </c>
      <c r="B188" s="1">
        <v>33.916666666666664</v>
      </c>
      <c r="C188" s="1">
        <v>84.516666666666666</v>
      </c>
    </row>
    <row r="189" spans="1:3" x14ac:dyDescent="0.25">
      <c r="A189" t="s">
        <v>96</v>
      </c>
      <c r="B189" s="1">
        <v>32.133333333333333</v>
      </c>
      <c r="C189" s="1">
        <v>81.2</v>
      </c>
    </row>
    <row r="190" spans="1:3" x14ac:dyDescent="0.25">
      <c r="A190" t="s">
        <v>97</v>
      </c>
      <c r="B190" s="1">
        <v>30.966666666666665</v>
      </c>
      <c r="C190" s="1">
        <v>83.2</v>
      </c>
    </row>
    <row r="191" spans="1:3" x14ac:dyDescent="0.25">
      <c r="A191" t="s">
        <v>98</v>
      </c>
      <c r="B191" s="1">
        <v>31.25</v>
      </c>
      <c r="C191" s="1">
        <v>82.4</v>
      </c>
    </row>
    <row r="192" spans="1:3" x14ac:dyDescent="0.25">
      <c r="B192" s="1"/>
      <c r="C192" s="1"/>
    </row>
    <row r="193" spans="1:3" x14ac:dyDescent="0.25">
      <c r="A193" t="s">
        <v>99</v>
      </c>
      <c r="B193" t="s">
        <v>7</v>
      </c>
      <c r="C193" t="s">
        <v>8</v>
      </c>
    </row>
    <row r="194" spans="1:3" x14ac:dyDescent="0.25">
      <c r="A194" t="s">
        <v>520</v>
      </c>
      <c r="B194" s="1">
        <v>19.716666666666665</v>
      </c>
      <c r="C194" s="1">
        <v>155.08333333333334</v>
      </c>
    </row>
    <row r="195" spans="1:3" x14ac:dyDescent="0.25">
      <c r="A195" t="s">
        <v>521</v>
      </c>
      <c r="B195" s="1">
        <v>21.333333333333332</v>
      </c>
      <c r="C195" s="1">
        <v>157.91666666666666</v>
      </c>
    </row>
    <row r="196" spans="1:3" x14ac:dyDescent="0.25">
      <c r="A196" t="s">
        <v>100</v>
      </c>
      <c r="B196" s="1">
        <v>21.45</v>
      </c>
      <c r="C196" s="1">
        <v>157.76666666666668</v>
      </c>
    </row>
    <row r="197" spans="1:3" x14ac:dyDescent="0.25">
      <c r="A197" t="s">
        <v>101</v>
      </c>
      <c r="B197" s="1">
        <v>21.05</v>
      </c>
      <c r="C197" s="1">
        <v>158.03333333333333</v>
      </c>
    </row>
    <row r="198" spans="1:3" x14ac:dyDescent="0.25">
      <c r="B198" s="1"/>
      <c r="C198" s="1"/>
    </row>
    <row r="199" spans="1:3" x14ac:dyDescent="0.25">
      <c r="A199" t="s">
        <v>102</v>
      </c>
      <c r="B199" t="s">
        <v>7</v>
      </c>
      <c r="C199" t="s">
        <v>8</v>
      </c>
    </row>
    <row r="200" spans="1:3" x14ac:dyDescent="0.25">
      <c r="A200" t="s">
        <v>522</v>
      </c>
      <c r="B200" s="1">
        <v>43.56666666666667</v>
      </c>
      <c r="C200" s="1">
        <v>116.21666666666667</v>
      </c>
    </row>
    <row r="201" spans="1:3" x14ac:dyDescent="0.25">
      <c r="A201" t="s">
        <v>103</v>
      </c>
      <c r="B201" s="1">
        <v>42.533333333333331</v>
      </c>
      <c r="C201" s="1">
        <v>113.76666666666667</v>
      </c>
    </row>
    <row r="202" spans="1:3" x14ac:dyDescent="0.25">
      <c r="A202" t="s">
        <v>523</v>
      </c>
      <c r="B202" s="1">
        <v>47.766666666666666</v>
      </c>
      <c r="C202" s="1">
        <v>116.81666666666666</v>
      </c>
    </row>
    <row r="203" spans="1:3" x14ac:dyDescent="0.25">
      <c r="A203" t="s">
        <v>524</v>
      </c>
      <c r="B203" s="1">
        <v>43.516666666666666</v>
      </c>
      <c r="C203" s="1">
        <v>112.06666666666666</v>
      </c>
    </row>
    <row r="204" spans="1:3" x14ac:dyDescent="0.25">
      <c r="A204" t="s">
        <v>174</v>
      </c>
      <c r="B204" s="1">
        <v>46.383333333333333</v>
      </c>
      <c r="C204" s="1">
        <v>117.01666666666667</v>
      </c>
    </row>
    <row r="205" spans="1:3" x14ac:dyDescent="0.25">
      <c r="A205" t="s">
        <v>104</v>
      </c>
      <c r="B205" s="1">
        <v>46.733333333333334</v>
      </c>
      <c r="C205" s="1">
        <v>116.96666666666667</v>
      </c>
    </row>
    <row r="206" spans="1:3" x14ac:dyDescent="0.25">
      <c r="A206" t="s">
        <v>105</v>
      </c>
      <c r="B206" s="1">
        <v>43.033333333333331</v>
      </c>
      <c r="C206" s="1">
        <v>115.9</v>
      </c>
    </row>
    <row r="207" spans="1:3" x14ac:dyDescent="0.25">
      <c r="A207" t="s">
        <v>525</v>
      </c>
      <c r="B207" s="1">
        <v>42.916666666666664</v>
      </c>
      <c r="C207" s="1">
        <v>112.6</v>
      </c>
    </row>
    <row r="208" spans="1:3" x14ac:dyDescent="0.25">
      <c r="A208" t="s">
        <v>526</v>
      </c>
      <c r="B208" s="1">
        <v>42.483333333333334</v>
      </c>
      <c r="C208" s="1">
        <v>114.48333333333333</v>
      </c>
    </row>
    <row r="210" spans="1:3" x14ac:dyDescent="0.25">
      <c r="A210" t="s">
        <v>106</v>
      </c>
      <c r="B210" t="s">
        <v>7</v>
      </c>
      <c r="C210" t="s">
        <v>8</v>
      </c>
    </row>
    <row r="211" spans="1:3" x14ac:dyDescent="0.25">
      <c r="A211" t="s">
        <v>107</v>
      </c>
      <c r="B211" s="1">
        <v>41.75</v>
      </c>
      <c r="C211" s="1">
        <v>88.333333333333329</v>
      </c>
    </row>
    <row r="212" spans="1:3" x14ac:dyDescent="0.25">
      <c r="A212" t="s">
        <v>108</v>
      </c>
      <c r="B212" s="1">
        <v>38.549999999999997</v>
      </c>
      <c r="C212" s="1">
        <v>89.85</v>
      </c>
    </row>
    <row r="213" spans="1:3" x14ac:dyDescent="0.25">
      <c r="A213" t="s">
        <v>109</v>
      </c>
      <c r="B213" s="1">
        <v>40.483333333333334</v>
      </c>
      <c r="C213" s="1">
        <v>88.95</v>
      </c>
    </row>
    <row r="214" spans="1:3" x14ac:dyDescent="0.25">
      <c r="A214" t="s">
        <v>110</v>
      </c>
      <c r="B214" s="1">
        <v>37.783333333333331</v>
      </c>
      <c r="C214" s="1">
        <v>89.25</v>
      </c>
    </row>
    <row r="215" spans="1:3" x14ac:dyDescent="0.25">
      <c r="A215" t="s">
        <v>111</v>
      </c>
      <c r="B215" s="1">
        <v>40.033333333333331</v>
      </c>
      <c r="C215" s="1">
        <v>88.283333333333331</v>
      </c>
    </row>
    <row r="216" spans="1:3" x14ac:dyDescent="0.25">
      <c r="A216" t="s">
        <v>527</v>
      </c>
      <c r="B216" s="1">
        <v>41.783333333333331</v>
      </c>
      <c r="C216" s="1">
        <v>87.75</v>
      </c>
    </row>
    <row r="217" spans="1:3" x14ac:dyDescent="0.25">
      <c r="A217" t="s">
        <v>528</v>
      </c>
      <c r="B217" s="1">
        <v>41.983333333333334</v>
      </c>
      <c r="C217" s="1">
        <v>87.9</v>
      </c>
    </row>
    <row r="218" spans="1:3" x14ac:dyDescent="0.25">
      <c r="A218" t="s">
        <v>112</v>
      </c>
      <c r="B218" s="1">
        <v>41.883333333333333</v>
      </c>
      <c r="C218" s="1">
        <v>87.63333333333334</v>
      </c>
    </row>
    <row r="219" spans="1:3" x14ac:dyDescent="0.25">
      <c r="A219" t="s">
        <v>113</v>
      </c>
      <c r="B219" s="1">
        <v>40.200000000000003</v>
      </c>
      <c r="C219" s="1">
        <v>87.6</v>
      </c>
    </row>
    <row r="220" spans="1:3" x14ac:dyDescent="0.25">
      <c r="A220" t="s">
        <v>2</v>
      </c>
      <c r="B220" s="1">
        <v>39.833333333333336</v>
      </c>
      <c r="C220" s="1">
        <v>88.86666666666666</v>
      </c>
    </row>
    <row r="221" spans="1:3" x14ac:dyDescent="0.25">
      <c r="A221" t="s">
        <v>114</v>
      </c>
      <c r="B221" s="1">
        <v>41.833333333333336</v>
      </c>
      <c r="C221" s="1">
        <v>89.483333333333334</v>
      </c>
    </row>
    <row r="222" spans="1:3" x14ac:dyDescent="0.25">
      <c r="A222" t="s">
        <v>115</v>
      </c>
      <c r="B222" s="1">
        <v>42.033333333333331</v>
      </c>
      <c r="C222" s="1">
        <v>88.266666666666666</v>
      </c>
    </row>
    <row r="223" spans="1:3" x14ac:dyDescent="0.25">
      <c r="A223" t="s">
        <v>116</v>
      </c>
      <c r="B223" s="1">
        <v>42.3</v>
      </c>
      <c r="C223" s="1">
        <v>89.61666666666666</v>
      </c>
    </row>
    <row r="224" spans="1:3" x14ac:dyDescent="0.25">
      <c r="A224" t="s">
        <v>117</v>
      </c>
      <c r="B224" s="1">
        <v>40.93333333333333</v>
      </c>
      <c r="C224" s="1">
        <v>90.433333333333337</v>
      </c>
    </row>
    <row r="225" spans="1:3" x14ac:dyDescent="0.25">
      <c r="A225" t="s">
        <v>118</v>
      </c>
      <c r="B225" s="1">
        <v>38.883333333333333</v>
      </c>
      <c r="C225" s="1">
        <v>89.4</v>
      </c>
    </row>
    <row r="226" spans="1:3" x14ac:dyDescent="0.25">
      <c r="A226" t="s">
        <v>119</v>
      </c>
      <c r="B226" s="1">
        <v>41.516666666666666</v>
      </c>
      <c r="C226" s="1">
        <v>88.166666666666671</v>
      </c>
    </row>
    <row r="227" spans="1:3" x14ac:dyDescent="0.25">
      <c r="A227" t="s">
        <v>120</v>
      </c>
      <c r="B227" s="1">
        <v>41.083333333333336</v>
      </c>
      <c r="C227" s="1">
        <v>87.916666666666671</v>
      </c>
    </row>
    <row r="228" spans="1:3" x14ac:dyDescent="0.25">
      <c r="A228" t="s">
        <v>121</v>
      </c>
      <c r="B228" s="1">
        <v>41.31666666666667</v>
      </c>
      <c r="C228" s="1">
        <v>89.1</v>
      </c>
    </row>
    <row r="229" spans="1:3" x14ac:dyDescent="0.25">
      <c r="A229" t="s">
        <v>122</v>
      </c>
      <c r="B229" s="1">
        <v>40.466666666666669</v>
      </c>
      <c r="C229" s="1">
        <v>90.666666666666671</v>
      </c>
    </row>
    <row r="230" spans="1:3" x14ac:dyDescent="0.25">
      <c r="A230" t="s">
        <v>529</v>
      </c>
      <c r="B230" s="1">
        <v>41.45</v>
      </c>
      <c r="C230" s="1">
        <v>90.516666666666666</v>
      </c>
    </row>
    <row r="231" spans="1:3" x14ac:dyDescent="0.25">
      <c r="A231" t="s">
        <v>123</v>
      </c>
      <c r="B231" s="1">
        <v>38.31666666666667</v>
      </c>
      <c r="C231" s="1">
        <v>88.86666666666666</v>
      </c>
    </row>
    <row r="232" spans="1:3" x14ac:dyDescent="0.25">
      <c r="A232" t="s">
        <v>530</v>
      </c>
      <c r="B232" s="1">
        <v>40.666666666666664</v>
      </c>
      <c r="C232" s="1">
        <v>89.683333333333337</v>
      </c>
    </row>
    <row r="233" spans="1:3" x14ac:dyDescent="0.25">
      <c r="A233" t="s">
        <v>531</v>
      </c>
      <c r="B233" s="1">
        <v>39.950000000000003</v>
      </c>
      <c r="C233" s="1">
        <v>91.2</v>
      </c>
    </row>
    <row r="234" spans="1:3" x14ac:dyDescent="0.25">
      <c r="A234" t="s">
        <v>124</v>
      </c>
      <c r="B234" s="1">
        <v>40.299999999999997</v>
      </c>
      <c r="C234" s="1">
        <v>88.13333333333334</v>
      </c>
    </row>
    <row r="235" spans="1:3" x14ac:dyDescent="0.25">
      <c r="A235" t="s">
        <v>125</v>
      </c>
      <c r="B235" s="1">
        <v>42.35</v>
      </c>
      <c r="C235" s="1">
        <v>89.05</v>
      </c>
    </row>
    <row r="236" spans="1:3" x14ac:dyDescent="0.25">
      <c r="A236" t="s">
        <v>318</v>
      </c>
      <c r="B236" s="1">
        <v>39.833333333333336</v>
      </c>
      <c r="C236" s="1">
        <v>89.666666666666671</v>
      </c>
    </row>
    <row r="237" spans="1:3" x14ac:dyDescent="0.25">
      <c r="A237" t="s">
        <v>126</v>
      </c>
      <c r="B237" s="1">
        <v>42.35</v>
      </c>
      <c r="C237" s="1">
        <v>87.88333333333334</v>
      </c>
    </row>
    <row r="238" spans="1:3" x14ac:dyDescent="0.25">
      <c r="B238" s="1"/>
      <c r="C238" s="1"/>
    </row>
    <row r="239" spans="1:3" x14ac:dyDescent="0.25">
      <c r="A239" t="s">
        <v>127</v>
      </c>
      <c r="B239" t="s">
        <v>7</v>
      </c>
      <c r="C239" t="s">
        <v>8</v>
      </c>
    </row>
    <row r="240" spans="1:3" x14ac:dyDescent="0.25">
      <c r="A240" t="s">
        <v>128</v>
      </c>
      <c r="B240" s="1">
        <v>40.1</v>
      </c>
      <c r="C240" s="1">
        <v>85.61666666666666</v>
      </c>
    </row>
    <row r="241" spans="1:3" x14ac:dyDescent="0.25">
      <c r="A241" t="s">
        <v>129</v>
      </c>
      <c r="B241" s="1">
        <v>38.85</v>
      </c>
      <c r="C241" s="1">
        <v>86.5</v>
      </c>
    </row>
    <row r="242" spans="1:3" x14ac:dyDescent="0.25">
      <c r="A242" t="s">
        <v>109</v>
      </c>
      <c r="B242" s="1">
        <v>39.133333333333333</v>
      </c>
      <c r="C242" s="1">
        <v>86.61666666666666</v>
      </c>
    </row>
    <row r="243" spans="1:3" x14ac:dyDescent="0.25">
      <c r="A243" t="s">
        <v>130</v>
      </c>
      <c r="B243" s="1">
        <v>39.266666666666666</v>
      </c>
      <c r="C243" s="1">
        <v>85.9</v>
      </c>
    </row>
    <row r="244" spans="1:3" x14ac:dyDescent="0.25">
      <c r="A244" t="s">
        <v>131</v>
      </c>
      <c r="B244" s="1">
        <v>40.049999999999997</v>
      </c>
      <c r="C244" s="1">
        <v>86.9</v>
      </c>
    </row>
    <row r="245" spans="1:3" x14ac:dyDescent="0.25">
      <c r="A245" t="s">
        <v>532</v>
      </c>
      <c r="B245" s="1">
        <v>38.049999999999997</v>
      </c>
      <c r="C245" s="1">
        <v>87.533333333333331</v>
      </c>
    </row>
    <row r="246" spans="1:3" x14ac:dyDescent="0.25">
      <c r="A246" t="s">
        <v>533</v>
      </c>
      <c r="B246" s="1">
        <v>41</v>
      </c>
      <c r="C246" s="1">
        <v>85.2</v>
      </c>
    </row>
    <row r="247" spans="1:3" x14ac:dyDescent="0.25">
      <c r="A247" t="s">
        <v>534</v>
      </c>
      <c r="B247" s="1">
        <v>41.533333333333331</v>
      </c>
      <c r="C247" s="1">
        <v>85.8</v>
      </c>
    </row>
    <row r="248" spans="1:3" x14ac:dyDescent="0.25">
      <c r="A248" t="s">
        <v>132</v>
      </c>
      <c r="B248" s="1">
        <v>41.533333333333331</v>
      </c>
      <c r="C248" s="1">
        <v>87.25</v>
      </c>
    </row>
    <row r="249" spans="1:3" x14ac:dyDescent="0.25">
      <c r="A249" t="s">
        <v>133</v>
      </c>
      <c r="B249" s="1">
        <v>40.883333333333333</v>
      </c>
      <c r="C249" s="1">
        <v>85.5</v>
      </c>
    </row>
    <row r="250" spans="1:3" x14ac:dyDescent="0.25">
      <c r="A250" t="s">
        <v>535</v>
      </c>
      <c r="B250" s="1">
        <v>39.733333333333334</v>
      </c>
      <c r="C250" s="1">
        <v>86.283333333333331</v>
      </c>
    </row>
    <row r="251" spans="1:3" x14ac:dyDescent="0.25">
      <c r="A251" t="s">
        <v>134</v>
      </c>
      <c r="B251" s="1">
        <v>38.283333333333331</v>
      </c>
      <c r="C251" s="1">
        <v>85.75</v>
      </c>
    </row>
    <row r="252" spans="1:3" x14ac:dyDescent="0.25">
      <c r="A252" t="s">
        <v>135</v>
      </c>
      <c r="B252" s="1">
        <v>40.416666666666664</v>
      </c>
      <c r="C252" s="1">
        <v>86.05</v>
      </c>
    </row>
    <row r="253" spans="1:3" x14ac:dyDescent="0.25">
      <c r="A253" t="s">
        <v>136</v>
      </c>
      <c r="B253" s="1">
        <v>40.033333333333331</v>
      </c>
      <c r="C253" s="1">
        <v>86.083333333333329</v>
      </c>
    </row>
    <row r="254" spans="1:3" x14ac:dyDescent="0.25">
      <c r="A254" t="s">
        <v>137</v>
      </c>
      <c r="B254" s="1">
        <v>41.6</v>
      </c>
      <c r="C254" s="1">
        <v>86.716666666666669</v>
      </c>
    </row>
    <row r="255" spans="1:3" x14ac:dyDescent="0.25">
      <c r="A255" t="s">
        <v>138</v>
      </c>
      <c r="B255" s="1">
        <v>40.483333333333334</v>
      </c>
      <c r="C255" s="1">
        <v>85.683333333333337</v>
      </c>
    </row>
    <row r="256" spans="1:3" x14ac:dyDescent="0.25">
      <c r="A256" t="s">
        <v>139</v>
      </c>
      <c r="B256" s="1">
        <v>40.18333333333333</v>
      </c>
      <c r="C256" s="1">
        <v>85.35</v>
      </c>
    </row>
    <row r="257" spans="1:3" x14ac:dyDescent="0.25">
      <c r="A257" t="s">
        <v>140</v>
      </c>
      <c r="B257" s="1">
        <v>40.65</v>
      </c>
      <c r="C257" s="1">
        <v>86.15</v>
      </c>
    </row>
    <row r="258" spans="1:3" x14ac:dyDescent="0.25">
      <c r="A258" t="s">
        <v>41</v>
      </c>
      <c r="B258" s="1">
        <v>39.766666666666666</v>
      </c>
      <c r="C258" s="1">
        <v>84.833333333333329</v>
      </c>
    </row>
    <row r="259" spans="1:3" x14ac:dyDescent="0.25">
      <c r="A259" t="s">
        <v>141</v>
      </c>
      <c r="B259" s="1">
        <v>39.516666666666666</v>
      </c>
      <c r="C259" s="1">
        <v>85.783333333333331</v>
      </c>
    </row>
    <row r="260" spans="1:3" x14ac:dyDescent="0.25">
      <c r="A260" t="s">
        <v>536</v>
      </c>
      <c r="B260" s="1">
        <v>41.7</v>
      </c>
      <c r="C260" s="1">
        <v>86.316666666666663</v>
      </c>
    </row>
    <row r="261" spans="1:3" x14ac:dyDescent="0.25">
      <c r="A261" t="s">
        <v>537</v>
      </c>
      <c r="B261" s="1">
        <v>39.450000000000003</v>
      </c>
      <c r="C261" s="1">
        <v>87.3</v>
      </c>
    </row>
    <row r="262" spans="1:3" x14ac:dyDescent="0.25">
      <c r="A262" t="s">
        <v>142</v>
      </c>
      <c r="B262" s="1">
        <v>41.516666666666666</v>
      </c>
      <c r="C262" s="1">
        <v>87.033333333333331</v>
      </c>
    </row>
    <row r="263" spans="1:3" x14ac:dyDescent="0.25">
      <c r="A263" t="s">
        <v>143</v>
      </c>
      <c r="B263" s="1">
        <v>38.68333333333333</v>
      </c>
      <c r="C263" s="1">
        <v>87.533333333333331</v>
      </c>
    </row>
    <row r="265" spans="1:3" x14ac:dyDescent="0.25">
      <c r="A265" t="s">
        <v>144</v>
      </c>
      <c r="B265" t="s">
        <v>7</v>
      </c>
      <c r="C265" t="s">
        <v>8</v>
      </c>
    </row>
    <row r="266" spans="1:3" x14ac:dyDescent="0.25">
      <c r="A266" t="s">
        <v>538</v>
      </c>
      <c r="B266" s="1">
        <v>42.033333333333331</v>
      </c>
      <c r="C266" s="1">
        <v>93.8</v>
      </c>
    </row>
    <row r="267" spans="1:3" x14ac:dyDescent="0.25">
      <c r="A267" t="s">
        <v>539</v>
      </c>
      <c r="B267" s="1">
        <v>40.783333333333331</v>
      </c>
      <c r="C267" s="1">
        <v>91.11666666666666</v>
      </c>
    </row>
    <row r="268" spans="1:3" x14ac:dyDescent="0.25">
      <c r="A268" t="s">
        <v>540</v>
      </c>
      <c r="B268" s="1">
        <v>41.883333333333333</v>
      </c>
      <c r="C268" s="1">
        <v>91.7</v>
      </c>
    </row>
    <row r="269" spans="1:3" x14ac:dyDescent="0.25">
      <c r="A269" t="s">
        <v>145</v>
      </c>
      <c r="B269" s="1">
        <v>41.833333333333336</v>
      </c>
      <c r="C269" s="1">
        <v>90.216666666666669</v>
      </c>
    </row>
    <row r="270" spans="1:3" x14ac:dyDescent="0.25">
      <c r="A270" t="s">
        <v>146</v>
      </c>
      <c r="B270" s="1">
        <v>41.333333333333336</v>
      </c>
      <c r="C270" s="1">
        <v>95.816666666666663</v>
      </c>
    </row>
    <row r="271" spans="1:3" x14ac:dyDescent="0.25">
      <c r="A271" t="s">
        <v>541</v>
      </c>
      <c r="B271" s="1">
        <v>41.533333333333331</v>
      </c>
      <c r="C271" s="1">
        <v>93.65</v>
      </c>
    </row>
    <row r="272" spans="1:3" x14ac:dyDescent="0.25">
      <c r="A272" t="s">
        <v>147</v>
      </c>
      <c r="B272" s="1">
        <v>42.4</v>
      </c>
      <c r="C272" s="1">
        <v>90.7</v>
      </c>
    </row>
    <row r="273" spans="1:3" x14ac:dyDescent="0.25">
      <c r="A273" t="s">
        <v>148</v>
      </c>
      <c r="B273" s="1">
        <v>42.55</v>
      </c>
      <c r="C273" s="1">
        <v>94.183333333333337</v>
      </c>
    </row>
    <row r="274" spans="1:3" x14ac:dyDescent="0.25">
      <c r="A274" t="s">
        <v>149</v>
      </c>
      <c r="B274" s="1">
        <v>41.633333333333333</v>
      </c>
      <c r="C274" s="1">
        <v>91.55</v>
      </c>
    </row>
    <row r="275" spans="1:3" x14ac:dyDescent="0.25">
      <c r="A275" t="s">
        <v>150</v>
      </c>
      <c r="B275" s="1">
        <v>40.4</v>
      </c>
      <c r="C275" s="1">
        <v>91.4</v>
      </c>
    </row>
    <row r="276" spans="1:3" x14ac:dyDescent="0.25">
      <c r="A276" t="s">
        <v>151</v>
      </c>
      <c r="B276" s="1">
        <v>42.06666666666667</v>
      </c>
      <c r="C276" s="1">
        <v>92.933333333333337</v>
      </c>
    </row>
    <row r="277" spans="1:3" x14ac:dyDescent="0.25">
      <c r="A277" t="s">
        <v>542</v>
      </c>
      <c r="B277" s="1">
        <v>43.15</v>
      </c>
      <c r="C277" s="1">
        <v>93.333333333333329</v>
      </c>
    </row>
    <row r="278" spans="1:3" x14ac:dyDescent="0.25">
      <c r="A278" t="s">
        <v>152</v>
      </c>
      <c r="B278" s="1">
        <v>41.68333333333333</v>
      </c>
      <c r="C278" s="1">
        <v>93.033333333333331</v>
      </c>
    </row>
    <row r="279" spans="1:3" x14ac:dyDescent="0.25">
      <c r="A279" t="s">
        <v>543</v>
      </c>
      <c r="B279" s="1">
        <v>41.1</v>
      </c>
      <c r="C279" s="1">
        <v>92.45</v>
      </c>
    </row>
    <row r="280" spans="1:3" x14ac:dyDescent="0.25">
      <c r="A280" t="s">
        <v>544</v>
      </c>
      <c r="B280" s="1">
        <v>42.4</v>
      </c>
      <c r="C280" s="1">
        <v>96.38333333333334</v>
      </c>
    </row>
    <row r="281" spans="1:3" x14ac:dyDescent="0.25">
      <c r="A281" t="s">
        <v>153</v>
      </c>
      <c r="B281" s="1">
        <v>42.55</v>
      </c>
      <c r="C281" s="1">
        <v>92.4</v>
      </c>
    </row>
    <row r="283" spans="1:3" x14ac:dyDescent="0.25">
      <c r="A283" t="s">
        <v>154</v>
      </c>
      <c r="B283" t="s">
        <v>7</v>
      </c>
      <c r="C283" t="s">
        <v>8</v>
      </c>
    </row>
    <row r="284" spans="1:3" x14ac:dyDescent="0.25">
      <c r="A284" t="s">
        <v>155</v>
      </c>
      <c r="B284" s="1">
        <v>39.56666666666667</v>
      </c>
      <c r="C284" s="1">
        <v>95.11666666666666</v>
      </c>
    </row>
    <row r="285" spans="1:3" x14ac:dyDescent="0.25">
      <c r="A285" t="s">
        <v>545</v>
      </c>
      <c r="B285" s="1">
        <v>37.666666666666664</v>
      </c>
      <c r="C285" s="1">
        <v>95.483333333333334</v>
      </c>
    </row>
    <row r="286" spans="1:3" x14ac:dyDescent="0.25">
      <c r="A286" t="s">
        <v>546</v>
      </c>
      <c r="B286" s="1">
        <v>37.766666666666666</v>
      </c>
      <c r="C286" s="1">
        <v>99.966666666666669</v>
      </c>
    </row>
    <row r="287" spans="1:3" x14ac:dyDescent="0.25">
      <c r="A287" t="s">
        <v>156</v>
      </c>
      <c r="B287" s="1">
        <v>37.81666666666667</v>
      </c>
      <c r="C287" s="1">
        <v>96.833333333333329</v>
      </c>
    </row>
    <row r="288" spans="1:3" x14ac:dyDescent="0.25">
      <c r="A288" t="s">
        <v>157</v>
      </c>
      <c r="B288" s="1">
        <v>38.333333333333336</v>
      </c>
      <c r="C288" s="1">
        <v>96.2</v>
      </c>
    </row>
    <row r="289" spans="1:3" x14ac:dyDescent="0.25">
      <c r="A289" t="s">
        <v>547</v>
      </c>
      <c r="B289" s="1">
        <v>37.93333333333333</v>
      </c>
      <c r="C289" s="1">
        <v>100.73333333333333</v>
      </c>
    </row>
    <row r="290" spans="1:3" x14ac:dyDescent="0.25">
      <c r="A290" t="s">
        <v>548</v>
      </c>
      <c r="B290" s="1">
        <v>39.366666666666667</v>
      </c>
      <c r="C290" s="1">
        <v>101.7</v>
      </c>
    </row>
    <row r="291" spans="1:3" x14ac:dyDescent="0.25">
      <c r="A291" t="s">
        <v>158</v>
      </c>
      <c r="B291" s="1">
        <v>38.35</v>
      </c>
      <c r="C291" s="1">
        <v>98.86666666666666</v>
      </c>
    </row>
    <row r="292" spans="1:3" x14ac:dyDescent="0.25">
      <c r="A292" t="s">
        <v>549</v>
      </c>
      <c r="B292" s="1">
        <v>38.06666666666667</v>
      </c>
      <c r="C292" s="1">
        <v>97.86666666666666</v>
      </c>
    </row>
    <row r="293" spans="1:3" x14ac:dyDescent="0.25">
      <c r="A293" t="s">
        <v>159</v>
      </c>
      <c r="B293" s="1">
        <v>37.049999999999997</v>
      </c>
      <c r="C293" s="1">
        <v>100.96666666666667</v>
      </c>
    </row>
    <row r="294" spans="1:3" x14ac:dyDescent="0.25">
      <c r="A294" t="s">
        <v>550</v>
      </c>
      <c r="B294" s="1">
        <v>39.049999999999997</v>
      </c>
      <c r="C294" s="1">
        <v>96.766666666666666</v>
      </c>
    </row>
    <row r="295" spans="1:3" x14ac:dyDescent="0.25">
      <c r="A295" t="s">
        <v>160</v>
      </c>
      <c r="B295" s="1">
        <v>37.333333333333336</v>
      </c>
      <c r="C295" s="1">
        <v>95.516666666666666</v>
      </c>
    </row>
    <row r="296" spans="1:3" x14ac:dyDescent="0.25">
      <c r="A296" t="s">
        <v>551</v>
      </c>
      <c r="B296" s="1">
        <v>38.866666666666667</v>
      </c>
      <c r="C296" s="1">
        <v>98.816666666666663</v>
      </c>
    </row>
    <row r="297" spans="1:3" x14ac:dyDescent="0.25">
      <c r="A297" t="s">
        <v>161</v>
      </c>
      <c r="B297" s="1">
        <v>38.799999999999997</v>
      </c>
      <c r="C297" s="1">
        <v>97.65</v>
      </c>
    </row>
    <row r="298" spans="1:3" x14ac:dyDescent="0.25">
      <c r="A298" t="s">
        <v>552</v>
      </c>
      <c r="B298" s="1">
        <v>39.06666666666667</v>
      </c>
      <c r="C298" s="1">
        <v>95.63333333333334</v>
      </c>
    </row>
    <row r="299" spans="1:3" x14ac:dyDescent="0.25">
      <c r="A299" t="s">
        <v>553</v>
      </c>
      <c r="B299" s="1">
        <v>37.65</v>
      </c>
      <c r="C299" s="1">
        <v>97.416666666666671</v>
      </c>
    </row>
    <row r="301" spans="1:3" x14ac:dyDescent="0.25">
      <c r="A301" t="s">
        <v>162</v>
      </c>
      <c r="B301" t="s">
        <v>7</v>
      </c>
      <c r="C301" t="s">
        <v>8</v>
      </c>
    </row>
    <row r="302" spans="1:3" x14ac:dyDescent="0.25">
      <c r="A302" t="s">
        <v>163</v>
      </c>
      <c r="B302" s="1">
        <v>38.549999999999997</v>
      </c>
      <c r="C302" s="1">
        <v>82.733333333333334</v>
      </c>
    </row>
    <row r="303" spans="1:3" x14ac:dyDescent="0.25">
      <c r="A303" t="s">
        <v>306</v>
      </c>
      <c r="B303" s="1">
        <v>35.966666666666669</v>
      </c>
      <c r="C303" s="1">
        <v>86.466666666666669</v>
      </c>
    </row>
    <row r="304" spans="1:3" x14ac:dyDescent="0.25">
      <c r="A304" t="s">
        <v>554</v>
      </c>
      <c r="B304" s="1">
        <v>36.950000000000003</v>
      </c>
      <c r="C304" s="1">
        <v>84.1</v>
      </c>
    </row>
    <row r="305" spans="1:3" x14ac:dyDescent="0.25">
      <c r="A305" t="s">
        <v>555</v>
      </c>
      <c r="B305" s="1">
        <v>39.049999999999997</v>
      </c>
      <c r="C305" s="1">
        <v>84.666666666666671</v>
      </c>
    </row>
    <row r="306" spans="1:3" x14ac:dyDescent="0.25">
      <c r="A306" t="s">
        <v>164</v>
      </c>
      <c r="B306" s="1">
        <v>36.666666666666664</v>
      </c>
      <c r="C306" s="1">
        <v>87.483333333333334</v>
      </c>
    </row>
    <row r="307" spans="1:3" x14ac:dyDescent="0.25">
      <c r="A307" t="s">
        <v>556</v>
      </c>
      <c r="B307" s="1">
        <v>38.033333333333331</v>
      </c>
      <c r="C307" s="1">
        <v>84.6</v>
      </c>
    </row>
    <row r="308" spans="1:3" x14ac:dyDescent="0.25">
      <c r="A308" t="s">
        <v>557</v>
      </c>
      <c r="B308" s="1">
        <v>38.18333333333333</v>
      </c>
      <c r="C308" s="1">
        <v>85.733333333333334</v>
      </c>
    </row>
    <row r="309" spans="1:3" x14ac:dyDescent="0.25">
      <c r="A309" t="s">
        <v>165</v>
      </c>
      <c r="B309" s="1">
        <v>37.31666666666667</v>
      </c>
      <c r="C309" s="1">
        <v>87.483333333333334</v>
      </c>
    </row>
    <row r="310" spans="1:3" x14ac:dyDescent="0.25">
      <c r="A310" t="s">
        <v>166</v>
      </c>
      <c r="B310" s="1">
        <v>37.75</v>
      </c>
      <c r="C310" s="1">
        <v>87.166666666666671</v>
      </c>
    </row>
    <row r="311" spans="1:3" x14ac:dyDescent="0.25">
      <c r="A311" t="s">
        <v>558</v>
      </c>
      <c r="B311" s="1">
        <v>37.06666666666667</v>
      </c>
      <c r="C311" s="1">
        <v>88.766666666666666</v>
      </c>
    </row>
    <row r="313" spans="1:3" x14ac:dyDescent="0.25">
      <c r="A313" t="s">
        <v>167</v>
      </c>
      <c r="B313" t="s">
        <v>7</v>
      </c>
      <c r="C313" t="s">
        <v>8</v>
      </c>
    </row>
    <row r="314" spans="1:3" x14ac:dyDescent="0.25">
      <c r="A314" t="s">
        <v>559</v>
      </c>
      <c r="B314" s="1">
        <v>31.4</v>
      </c>
      <c r="C314" s="1">
        <v>92.3</v>
      </c>
    </row>
    <row r="315" spans="1:3" x14ac:dyDescent="0.25">
      <c r="A315" t="s">
        <v>560</v>
      </c>
      <c r="B315" s="1">
        <v>30.533333333333335</v>
      </c>
      <c r="C315" s="1">
        <v>91.15</v>
      </c>
    </row>
    <row r="316" spans="1:3" x14ac:dyDescent="0.25">
      <c r="A316" t="s">
        <v>168</v>
      </c>
      <c r="B316" s="1">
        <v>30.783333333333335</v>
      </c>
      <c r="C316" s="1">
        <v>89.86666666666666</v>
      </c>
    </row>
    <row r="317" spans="1:3" x14ac:dyDescent="0.25">
      <c r="A317" t="s">
        <v>169</v>
      </c>
      <c r="B317" s="1">
        <v>29.516666666666666</v>
      </c>
      <c r="C317" s="1">
        <v>90.666666666666671</v>
      </c>
    </row>
    <row r="318" spans="1:3" x14ac:dyDescent="0.25">
      <c r="A318" t="s">
        <v>136</v>
      </c>
      <c r="B318" s="1">
        <v>30.2</v>
      </c>
      <c r="C318" s="1">
        <v>92</v>
      </c>
    </row>
    <row r="319" spans="1:3" x14ac:dyDescent="0.25">
      <c r="A319" t="s">
        <v>561</v>
      </c>
      <c r="B319" s="1">
        <v>30.116666666666667</v>
      </c>
      <c r="C319" s="1">
        <v>93.216666666666669</v>
      </c>
    </row>
    <row r="320" spans="1:3" x14ac:dyDescent="0.25">
      <c r="A320" t="s">
        <v>170</v>
      </c>
      <c r="B320" s="1">
        <v>32.6</v>
      </c>
      <c r="C320" s="1">
        <v>93.3</v>
      </c>
    </row>
    <row r="321" spans="1:3" x14ac:dyDescent="0.25">
      <c r="A321" t="s">
        <v>562</v>
      </c>
      <c r="B321" s="1">
        <v>32.516666666666666</v>
      </c>
      <c r="C321" s="1">
        <v>92.033333333333331</v>
      </c>
    </row>
    <row r="322" spans="1:3" x14ac:dyDescent="0.25">
      <c r="A322" t="s">
        <v>171</v>
      </c>
      <c r="B322" s="1">
        <v>31.766666666666666</v>
      </c>
      <c r="C322" s="1">
        <v>93.083333333333329</v>
      </c>
    </row>
    <row r="323" spans="1:3" x14ac:dyDescent="0.25">
      <c r="A323" t="s">
        <v>563</v>
      </c>
      <c r="B323" s="1">
        <v>29.983333333333334</v>
      </c>
      <c r="C323" s="1">
        <v>90.25</v>
      </c>
    </row>
    <row r="324" spans="1:3" x14ac:dyDescent="0.25">
      <c r="A324" t="s">
        <v>564</v>
      </c>
      <c r="B324" s="1">
        <v>32.466666666666669</v>
      </c>
      <c r="C324" s="1">
        <v>93.816666666666663</v>
      </c>
    </row>
    <row r="326" spans="1:3" x14ac:dyDescent="0.25">
      <c r="A326" t="s">
        <v>172</v>
      </c>
      <c r="B326" t="s">
        <v>7</v>
      </c>
      <c r="C326" t="s">
        <v>8</v>
      </c>
    </row>
    <row r="327" spans="1:3" x14ac:dyDescent="0.25">
      <c r="A327" t="s">
        <v>518</v>
      </c>
      <c r="B327" s="1">
        <v>44.31666666666667</v>
      </c>
      <c r="C327" s="1">
        <v>69.8</v>
      </c>
    </row>
    <row r="328" spans="1:3" x14ac:dyDescent="0.25">
      <c r="A328" t="s">
        <v>173</v>
      </c>
      <c r="B328" s="1">
        <v>44.8</v>
      </c>
      <c r="C328" s="1">
        <v>68.833333333333329</v>
      </c>
    </row>
    <row r="329" spans="1:3" x14ac:dyDescent="0.25">
      <c r="A329" t="s">
        <v>565</v>
      </c>
      <c r="B329" s="1">
        <v>46.866666666666667</v>
      </c>
      <c r="C329" s="1">
        <v>68.016666666666666</v>
      </c>
    </row>
    <row r="330" spans="1:3" x14ac:dyDescent="0.25">
      <c r="A330" t="s">
        <v>174</v>
      </c>
      <c r="B330" s="1">
        <v>44.033333333333331</v>
      </c>
      <c r="C330" s="1">
        <v>70.25</v>
      </c>
    </row>
    <row r="331" spans="1:3" x14ac:dyDescent="0.25">
      <c r="A331" t="s">
        <v>566</v>
      </c>
      <c r="B331" s="1">
        <v>45.65</v>
      </c>
      <c r="C331" s="1">
        <v>68.7</v>
      </c>
    </row>
    <row r="332" spans="1:3" x14ac:dyDescent="0.25">
      <c r="A332" t="s">
        <v>567</v>
      </c>
      <c r="B332" s="1">
        <v>43.65</v>
      </c>
      <c r="C332" s="1">
        <v>70.316666666666663</v>
      </c>
    </row>
    <row r="333" spans="1:3" x14ac:dyDescent="0.25">
      <c r="A333" t="s">
        <v>175</v>
      </c>
      <c r="B333" s="1">
        <v>44.533333333333331</v>
      </c>
      <c r="C333" s="1">
        <v>69.666666666666671</v>
      </c>
    </row>
    <row r="335" spans="1:3" x14ac:dyDescent="0.25">
      <c r="A335" t="s">
        <v>176</v>
      </c>
      <c r="B335" t="s">
        <v>7</v>
      </c>
      <c r="C335" t="s">
        <v>8</v>
      </c>
    </row>
    <row r="336" spans="1:3" x14ac:dyDescent="0.25">
      <c r="A336" t="s">
        <v>568</v>
      </c>
      <c r="B336" s="1">
        <v>39.18333333333333</v>
      </c>
      <c r="C336" s="1">
        <v>76.666666666666671</v>
      </c>
    </row>
    <row r="337" spans="1:3" x14ac:dyDescent="0.25">
      <c r="A337" t="s">
        <v>177</v>
      </c>
      <c r="B337" s="1">
        <v>39.333333333333336</v>
      </c>
      <c r="C337" s="1">
        <v>76.416666666666671</v>
      </c>
    </row>
    <row r="338" spans="1:3" x14ac:dyDescent="0.25">
      <c r="A338" t="s">
        <v>178</v>
      </c>
      <c r="B338" s="1">
        <v>39.616666666666667</v>
      </c>
      <c r="C338" s="1">
        <v>78.766666666666666</v>
      </c>
    </row>
    <row r="339" spans="1:3" x14ac:dyDescent="0.25">
      <c r="A339" t="s">
        <v>569</v>
      </c>
      <c r="B339" s="1">
        <v>39.450000000000003</v>
      </c>
      <c r="C339" s="1">
        <v>77.416666666666671</v>
      </c>
    </row>
    <row r="340" spans="1:3" x14ac:dyDescent="0.25">
      <c r="A340" t="s">
        <v>179</v>
      </c>
      <c r="B340" s="1">
        <v>39.700000000000003</v>
      </c>
      <c r="C340" s="1">
        <v>77.733333333333334</v>
      </c>
    </row>
    <row r="341" spans="1:3" x14ac:dyDescent="0.25">
      <c r="A341" t="s">
        <v>570</v>
      </c>
      <c r="B341" s="1">
        <v>38.333333333333336</v>
      </c>
      <c r="C341" s="1">
        <v>75.5</v>
      </c>
    </row>
    <row r="343" spans="1:3" x14ac:dyDescent="0.25">
      <c r="A343" t="s">
        <v>180</v>
      </c>
      <c r="B343" t="s">
        <v>7</v>
      </c>
      <c r="C343" t="s">
        <v>8</v>
      </c>
    </row>
    <row r="344" spans="1:3" x14ac:dyDescent="0.25">
      <c r="A344" t="s">
        <v>571</v>
      </c>
      <c r="B344" s="1">
        <v>42.366666666666667</v>
      </c>
      <c r="C344" s="1">
        <v>71.033333333333331</v>
      </c>
    </row>
    <row r="345" spans="1:3" x14ac:dyDescent="0.25">
      <c r="A345" t="s">
        <v>145</v>
      </c>
      <c r="B345" s="1">
        <v>42.4</v>
      </c>
      <c r="C345" s="1">
        <v>71.683333333333337</v>
      </c>
    </row>
    <row r="346" spans="1:3" x14ac:dyDescent="0.25">
      <c r="A346" t="s">
        <v>181</v>
      </c>
      <c r="B346" s="1">
        <v>41.716666666666669</v>
      </c>
      <c r="C346" s="1">
        <v>71.13333333333334</v>
      </c>
    </row>
    <row r="347" spans="1:3" x14ac:dyDescent="0.25">
      <c r="A347" t="s">
        <v>182</v>
      </c>
      <c r="B347" s="1">
        <v>42.283333333333331</v>
      </c>
      <c r="C347" s="1">
        <v>71.416666666666671</v>
      </c>
    </row>
    <row r="348" spans="1:3" x14ac:dyDescent="0.25">
      <c r="A348" t="s">
        <v>183</v>
      </c>
      <c r="B348" s="1">
        <v>42.583333333333336</v>
      </c>
      <c r="C348" s="1">
        <v>70.683333333333337</v>
      </c>
    </row>
    <row r="349" spans="1:3" x14ac:dyDescent="0.25">
      <c r="A349" t="s">
        <v>184</v>
      </c>
      <c r="B349" s="1">
        <v>42.05</v>
      </c>
      <c r="C349" s="1">
        <v>72.066666666666663</v>
      </c>
    </row>
    <row r="350" spans="1:3" x14ac:dyDescent="0.25">
      <c r="A350" t="s">
        <v>185</v>
      </c>
      <c r="B350" s="1">
        <v>42.7</v>
      </c>
      <c r="C350" s="1">
        <v>71.166666666666671</v>
      </c>
    </row>
    <row r="351" spans="1:3" x14ac:dyDescent="0.25">
      <c r="A351" t="s">
        <v>186</v>
      </c>
      <c r="B351" s="1">
        <v>42.65</v>
      </c>
      <c r="C351" s="1">
        <v>71.316666666666663</v>
      </c>
    </row>
    <row r="352" spans="1:3" x14ac:dyDescent="0.25">
      <c r="A352" t="s">
        <v>187</v>
      </c>
      <c r="B352" s="1">
        <v>41.68333333333333</v>
      </c>
      <c r="C352" s="1">
        <v>70.966666666666669</v>
      </c>
    </row>
    <row r="353" spans="1:3" x14ac:dyDescent="0.25">
      <c r="A353" t="s">
        <v>572</v>
      </c>
      <c r="B353" s="1">
        <v>42.43333333333333</v>
      </c>
      <c r="C353" s="1">
        <v>73.3</v>
      </c>
    </row>
    <row r="354" spans="1:3" x14ac:dyDescent="0.25">
      <c r="A354" t="s">
        <v>188</v>
      </c>
      <c r="B354" s="1">
        <v>42.2</v>
      </c>
      <c r="C354" s="1">
        <v>72.533333333333331</v>
      </c>
    </row>
    <row r="355" spans="1:3" x14ac:dyDescent="0.25">
      <c r="A355" t="s">
        <v>189</v>
      </c>
      <c r="B355" s="1">
        <v>41.9</v>
      </c>
      <c r="C355" s="1">
        <v>71.066666666666663</v>
      </c>
    </row>
    <row r="356" spans="1:3" x14ac:dyDescent="0.25">
      <c r="A356" t="s">
        <v>573</v>
      </c>
      <c r="B356" s="1">
        <v>42.266666666666666</v>
      </c>
      <c r="C356" s="1">
        <v>71.86666666666666</v>
      </c>
    </row>
    <row r="358" spans="1:3" x14ac:dyDescent="0.25">
      <c r="A358" t="s">
        <v>190</v>
      </c>
      <c r="B358" t="s">
        <v>7</v>
      </c>
      <c r="C358" t="s">
        <v>8</v>
      </c>
    </row>
    <row r="359" spans="1:3" x14ac:dyDescent="0.25">
      <c r="A359" t="s">
        <v>191</v>
      </c>
      <c r="B359" s="1">
        <v>41.916666666666664</v>
      </c>
      <c r="C359" s="1">
        <v>84.016666666666666</v>
      </c>
    </row>
    <row r="360" spans="1:3" x14ac:dyDescent="0.25">
      <c r="A360" t="s">
        <v>574</v>
      </c>
      <c r="B360" s="1">
        <v>45.06666666666667</v>
      </c>
      <c r="C360" s="1">
        <v>83.433333333333337</v>
      </c>
    </row>
    <row r="361" spans="1:3" x14ac:dyDescent="0.25">
      <c r="A361" t="s">
        <v>575</v>
      </c>
      <c r="B361" s="1">
        <v>42.31666666666667</v>
      </c>
      <c r="C361" s="1">
        <v>85.25</v>
      </c>
    </row>
    <row r="362" spans="1:3" x14ac:dyDescent="0.25">
      <c r="A362" t="s">
        <v>576</v>
      </c>
      <c r="B362" s="1">
        <v>42.133333333333333</v>
      </c>
      <c r="C362" s="1">
        <v>86.433333333333337</v>
      </c>
    </row>
    <row r="363" spans="1:3" x14ac:dyDescent="0.25">
      <c r="A363" t="s">
        <v>192</v>
      </c>
      <c r="B363" s="1">
        <v>42.416666666666664</v>
      </c>
      <c r="C363" s="1">
        <v>83.016666666666666</v>
      </c>
    </row>
    <row r="364" spans="1:3" x14ac:dyDescent="0.25">
      <c r="A364" t="s">
        <v>193</v>
      </c>
      <c r="B364" s="1">
        <v>45.733333333333334</v>
      </c>
      <c r="C364" s="1">
        <v>87.083333333333329</v>
      </c>
    </row>
    <row r="365" spans="1:3" x14ac:dyDescent="0.25">
      <c r="A365" t="s">
        <v>577</v>
      </c>
      <c r="B365" s="1">
        <v>42.966666666666669</v>
      </c>
      <c r="C365" s="1">
        <v>83.733333333333334</v>
      </c>
    </row>
    <row r="366" spans="1:3" x14ac:dyDescent="0.25">
      <c r="A366" t="s">
        <v>578</v>
      </c>
      <c r="B366" s="1">
        <v>42.883333333333333</v>
      </c>
      <c r="C366" s="1">
        <v>85.516666666666666</v>
      </c>
    </row>
    <row r="367" spans="1:3" x14ac:dyDescent="0.25">
      <c r="A367" t="s">
        <v>194</v>
      </c>
      <c r="B367" s="1">
        <v>42.7</v>
      </c>
      <c r="C367" s="1">
        <v>86.1</v>
      </c>
    </row>
    <row r="368" spans="1:3" x14ac:dyDescent="0.25">
      <c r="A368" t="s">
        <v>579</v>
      </c>
      <c r="B368" s="1">
        <v>42.266666666666666</v>
      </c>
      <c r="C368" s="1">
        <v>84.466666666666669</v>
      </c>
    </row>
    <row r="369" spans="1:3" x14ac:dyDescent="0.25">
      <c r="A369" t="s">
        <v>195</v>
      </c>
      <c r="B369" s="1">
        <v>42.283333333333331</v>
      </c>
      <c r="C369" s="1">
        <v>85.6</v>
      </c>
    </row>
    <row r="370" spans="1:3" x14ac:dyDescent="0.25">
      <c r="A370" t="s">
        <v>580</v>
      </c>
      <c r="B370" s="1">
        <v>42.783333333333331</v>
      </c>
      <c r="C370" s="1">
        <v>84.6</v>
      </c>
    </row>
    <row r="371" spans="1:3" x14ac:dyDescent="0.25">
      <c r="A371" t="s">
        <v>196</v>
      </c>
      <c r="B371" s="1">
        <v>46.56666666666667</v>
      </c>
      <c r="C371" s="1">
        <v>87.4</v>
      </c>
    </row>
    <row r="372" spans="1:3" x14ac:dyDescent="0.25">
      <c r="A372" t="s">
        <v>197</v>
      </c>
      <c r="B372" s="1">
        <v>43.583333333333336</v>
      </c>
      <c r="C372" s="1">
        <v>84.766666666666666</v>
      </c>
    </row>
    <row r="373" spans="1:3" x14ac:dyDescent="0.25">
      <c r="A373" t="s">
        <v>581</v>
      </c>
      <c r="B373" s="1">
        <v>43.166666666666664</v>
      </c>
      <c r="C373" s="1">
        <v>86.233333333333334</v>
      </c>
    </row>
    <row r="374" spans="1:3" x14ac:dyDescent="0.25">
      <c r="A374" t="s">
        <v>198</v>
      </c>
      <c r="B374" s="1">
        <v>42.666666666666664</v>
      </c>
      <c r="C374" s="1">
        <v>83.416666666666671</v>
      </c>
    </row>
    <row r="375" spans="1:3" x14ac:dyDescent="0.25">
      <c r="A375" t="s">
        <v>199</v>
      </c>
      <c r="B375" s="1">
        <v>42.983333333333334</v>
      </c>
      <c r="C375" s="1">
        <v>82.416666666666671</v>
      </c>
    </row>
    <row r="376" spans="1:3" x14ac:dyDescent="0.25">
      <c r="A376" t="s">
        <v>582</v>
      </c>
      <c r="B376" s="1">
        <v>43.533333333333331</v>
      </c>
      <c r="C376" s="1">
        <v>84.083333333333329</v>
      </c>
    </row>
    <row r="377" spans="1:3" x14ac:dyDescent="0.25">
      <c r="A377" t="s">
        <v>583</v>
      </c>
      <c r="B377" s="1">
        <v>46.466666666666669</v>
      </c>
      <c r="C377" s="1">
        <v>84.36666666666666</v>
      </c>
    </row>
    <row r="378" spans="1:3" x14ac:dyDescent="0.25">
      <c r="A378" t="s">
        <v>584</v>
      </c>
      <c r="B378" s="1">
        <v>44.75</v>
      </c>
      <c r="C378" s="1">
        <v>85.583333333333329</v>
      </c>
    </row>
    <row r="379" spans="1:3" x14ac:dyDescent="0.25">
      <c r="A379" t="s">
        <v>200</v>
      </c>
      <c r="B379" s="1">
        <v>42.233333333333334</v>
      </c>
      <c r="C379" s="1">
        <v>83.533333333333331</v>
      </c>
    </row>
    <row r="381" spans="1:3" x14ac:dyDescent="0.25">
      <c r="A381" t="s">
        <v>201</v>
      </c>
      <c r="B381" t="s">
        <v>7</v>
      </c>
      <c r="C381" t="s">
        <v>8</v>
      </c>
    </row>
    <row r="382" spans="1:3" x14ac:dyDescent="0.25">
      <c r="A382" t="s">
        <v>202</v>
      </c>
      <c r="B382" s="1">
        <v>43.65</v>
      </c>
      <c r="C382" s="1">
        <v>93.35</v>
      </c>
    </row>
    <row r="383" spans="1:3" x14ac:dyDescent="0.25">
      <c r="A383" t="s">
        <v>559</v>
      </c>
      <c r="B383" s="1">
        <v>45.866666666666667</v>
      </c>
      <c r="C383" s="1">
        <v>95.38333333333334</v>
      </c>
    </row>
    <row r="384" spans="1:3" x14ac:dyDescent="0.25">
      <c r="A384" t="s">
        <v>585</v>
      </c>
      <c r="B384" s="1">
        <v>47.516666666666666</v>
      </c>
      <c r="C384" s="1">
        <v>94.933333333333337</v>
      </c>
    </row>
    <row r="385" spans="1:3" x14ac:dyDescent="0.25">
      <c r="A385" t="s">
        <v>203</v>
      </c>
      <c r="B385" s="1">
        <v>46.4</v>
      </c>
      <c r="C385" s="1">
        <v>94.13333333333334</v>
      </c>
    </row>
    <row r="386" spans="1:3" x14ac:dyDescent="0.25">
      <c r="A386" t="s">
        <v>586</v>
      </c>
      <c r="B386" s="1">
        <v>46.833333333333336</v>
      </c>
      <c r="C386" s="1">
        <v>92.183333333333337</v>
      </c>
    </row>
    <row r="387" spans="1:3" x14ac:dyDescent="0.25">
      <c r="A387" t="s">
        <v>204</v>
      </c>
      <c r="B387" s="1">
        <v>44.3</v>
      </c>
      <c r="C387" s="1">
        <v>93.266666666666666</v>
      </c>
    </row>
    <row r="388" spans="1:3" x14ac:dyDescent="0.25">
      <c r="A388" t="s">
        <v>205</v>
      </c>
      <c r="B388" s="1">
        <v>46.266666666666666</v>
      </c>
      <c r="C388" s="1">
        <v>96.066666666666663</v>
      </c>
    </row>
    <row r="389" spans="1:3" x14ac:dyDescent="0.25">
      <c r="A389" t="s">
        <v>587</v>
      </c>
      <c r="B389" s="1">
        <v>48.56666666666667</v>
      </c>
      <c r="C389" s="1">
        <v>93.38333333333334</v>
      </c>
    </row>
    <row r="390" spans="1:3" x14ac:dyDescent="0.25">
      <c r="A390" t="s">
        <v>206</v>
      </c>
      <c r="B390" s="1">
        <v>44.15</v>
      </c>
      <c r="C390" s="1">
        <v>93.983333333333334</v>
      </c>
    </row>
    <row r="391" spans="1:3" x14ac:dyDescent="0.25">
      <c r="A391" t="s">
        <v>588</v>
      </c>
      <c r="B391" s="1">
        <v>44.883333333333333</v>
      </c>
      <c r="C391" s="1">
        <v>93.216666666666669</v>
      </c>
    </row>
    <row r="392" spans="1:3" x14ac:dyDescent="0.25">
      <c r="A392" t="s">
        <v>589</v>
      </c>
      <c r="B392" s="1">
        <v>43.916666666666664</v>
      </c>
      <c r="C392" s="1">
        <v>92.5</v>
      </c>
    </row>
    <row r="393" spans="1:3" x14ac:dyDescent="0.25">
      <c r="A393" t="s">
        <v>590</v>
      </c>
      <c r="B393" s="1">
        <v>45.583333333333336</v>
      </c>
      <c r="C393" s="1">
        <v>94.183333333333337</v>
      </c>
    </row>
    <row r="394" spans="1:3" x14ac:dyDescent="0.25">
      <c r="A394" t="s">
        <v>207</v>
      </c>
      <c r="B394" s="1">
        <v>47.5</v>
      </c>
      <c r="C394" s="1">
        <v>92.55</v>
      </c>
    </row>
    <row r="395" spans="1:3" x14ac:dyDescent="0.25">
      <c r="A395" t="s">
        <v>208</v>
      </c>
      <c r="B395" s="1">
        <v>45.116666666666667</v>
      </c>
      <c r="C395" s="1">
        <v>95.083333333333329</v>
      </c>
    </row>
    <row r="396" spans="1:3" x14ac:dyDescent="0.25">
      <c r="A396" t="s">
        <v>209</v>
      </c>
      <c r="B396" s="1">
        <v>44.05</v>
      </c>
      <c r="C396" s="1">
        <v>91.63333333333334</v>
      </c>
    </row>
    <row r="398" spans="1:3" x14ac:dyDescent="0.25">
      <c r="A398" t="s">
        <v>210</v>
      </c>
      <c r="B398" t="s">
        <v>7</v>
      </c>
      <c r="C398" t="s">
        <v>8</v>
      </c>
    </row>
    <row r="399" spans="1:3" x14ac:dyDescent="0.25">
      <c r="A399" t="s">
        <v>211</v>
      </c>
      <c r="B399" s="1">
        <v>30.416666666666668</v>
      </c>
      <c r="C399" s="1">
        <v>88.916666666666671</v>
      </c>
    </row>
    <row r="400" spans="1:3" x14ac:dyDescent="0.25">
      <c r="A400" t="s">
        <v>212</v>
      </c>
      <c r="B400" s="1">
        <v>34.200000000000003</v>
      </c>
      <c r="C400" s="1">
        <v>90.566666666666663</v>
      </c>
    </row>
    <row r="401" spans="1:3" x14ac:dyDescent="0.25">
      <c r="A401" t="s">
        <v>213</v>
      </c>
      <c r="B401" s="1">
        <v>33.65</v>
      </c>
      <c r="C401" s="1">
        <v>88.45</v>
      </c>
    </row>
    <row r="402" spans="1:3" x14ac:dyDescent="0.25">
      <c r="A402" t="s">
        <v>214</v>
      </c>
      <c r="B402" s="1">
        <v>33.483333333333334</v>
      </c>
      <c r="C402" s="1">
        <v>90.983333333333334</v>
      </c>
    </row>
    <row r="403" spans="1:3" x14ac:dyDescent="0.25">
      <c r="A403" t="s">
        <v>215</v>
      </c>
      <c r="B403" s="1">
        <v>33.5</v>
      </c>
      <c r="C403" s="1">
        <v>90.083333333333329</v>
      </c>
    </row>
    <row r="404" spans="1:3" x14ac:dyDescent="0.25">
      <c r="A404" t="s">
        <v>216</v>
      </c>
      <c r="B404" s="1">
        <v>31.266666666666666</v>
      </c>
      <c r="C404" s="1">
        <v>89.25</v>
      </c>
    </row>
    <row r="405" spans="1:3" x14ac:dyDescent="0.25">
      <c r="A405" t="s">
        <v>579</v>
      </c>
      <c r="B405" s="1">
        <v>32.31666666666667</v>
      </c>
      <c r="C405" s="1">
        <v>90.083333333333329</v>
      </c>
    </row>
    <row r="406" spans="1:3" x14ac:dyDescent="0.25">
      <c r="A406" t="s">
        <v>217</v>
      </c>
      <c r="B406" s="1">
        <v>31.666666666666668</v>
      </c>
      <c r="C406" s="1">
        <v>89.166666666666671</v>
      </c>
    </row>
    <row r="407" spans="1:3" x14ac:dyDescent="0.25">
      <c r="A407" t="s">
        <v>591</v>
      </c>
      <c r="B407" s="1">
        <v>31.25</v>
      </c>
      <c r="C407" s="1">
        <v>90.466666666666669</v>
      </c>
    </row>
    <row r="408" spans="1:3" x14ac:dyDescent="0.25">
      <c r="A408" t="s">
        <v>592</v>
      </c>
      <c r="B408" s="1">
        <v>32.333333333333336</v>
      </c>
      <c r="C408" s="1">
        <v>88.75</v>
      </c>
    </row>
    <row r="409" spans="1:3" x14ac:dyDescent="0.25">
      <c r="A409" t="s">
        <v>218</v>
      </c>
      <c r="B409" s="1">
        <v>31.55</v>
      </c>
      <c r="C409" s="1">
        <v>91.38333333333334</v>
      </c>
    </row>
    <row r="410" spans="1:3" x14ac:dyDescent="0.25">
      <c r="A410" t="s">
        <v>219</v>
      </c>
      <c r="B410" s="1">
        <v>34.266666666666666</v>
      </c>
      <c r="C410" s="1">
        <v>88.766666666666666</v>
      </c>
    </row>
    <row r="411" spans="1:3" x14ac:dyDescent="0.25">
      <c r="A411" t="s">
        <v>220</v>
      </c>
      <c r="B411" s="1">
        <v>32.4</v>
      </c>
      <c r="C411" s="1">
        <v>90.783333333333331</v>
      </c>
    </row>
    <row r="413" spans="1:3" x14ac:dyDescent="0.25">
      <c r="A413" t="s">
        <v>221</v>
      </c>
      <c r="B413" t="s">
        <v>7</v>
      </c>
      <c r="C413" t="s">
        <v>8</v>
      </c>
    </row>
    <row r="414" spans="1:3" x14ac:dyDescent="0.25">
      <c r="A414" t="s">
        <v>222</v>
      </c>
      <c r="B414" s="1">
        <v>37.233333333333334</v>
      </c>
      <c r="C414" s="1">
        <v>89.583333333333329</v>
      </c>
    </row>
    <row r="415" spans="1:3" x14ac:dyDescent="0.25">
      <c r="A415" t="s">
        <v>366</v>
      </c>
      <c r="B415" s="1">
        <v>38.966666666666669</v>
      </c>
      <c r="C415" s="1">
        <v>92.36666666666666</v>
      </c>
    </row>
    <row r="416" spans="1:3" x14ac:dyDescent="0.25">
      <c r="A416" t="s">
        <v>593</v>
      </c>
      <c r="B416" s="1">
        <v>37.766666666666666</v>
      </c>
      <c r="C416" s="1">
        <v>90.4</v>
      </c>
    </row>
    <row r="417" spans="1:3" x14ac:dyDescent="0.25">
      <c r="A417" t="s">
        <v>223</v>
      </c>
      <c r="B417" s="1">
        <v>39.700000000000003</v>
      </c>
      <c r="C417" s="1">
        <v>91.35</v>
      </c>
    </row>
    <row r="418" spans="1:3" x14ac:dyDescent="0.25">
      <c r="A418" t="s">
        <v>224</v>
      </c>
      <c r="B418" s="1">
        <v>38.56666666666667</v>
      </c>
      <c r="C418" s="1">
        <v>92.183333333333337</v>
      </c>
    </row>
    <row r="419" spans="1:3" x14ac:dyDescent="0.25">
      <c r="A419" t="s">
        <v>594</v>
      </c>
      <c r="B419" s="1">
        <v>37.15</v>
      </c>
      <c r="C419" s="1">
        <v>94.5</v>
      </c>
    </row>
    <row r="420" spans="1:3" x14ac:dyDescent="0.25">
      <c r="A420" t="s">
        <v>595</v>
      </c>
      <c r="B420" s="1">
        <v>39.116666666666667</v>
      </c>
      <c r="C420" s="1">
        <v>94.583333333333329</v>
      </c>
    </row>
    <row r="421" spans="1:3" x14ac:dyDescent="0.25">
      <c r="A421" t="s">
        <v>596</v>
      </c>
      <c r="B421" s="1">
        <v>40.1</v>
      </c>
      <c r="C421" s="1">
        <v>92.55</v>
      </c>
    </row>
    <row r="422" spans="1:3" x14ac:dyDescent="0.25">
      <c r="A422" t="s">
        <v>225</v>
      </c>
      <c r="B422" s="1">
        <v>39.18333333333333</v>
      </c>
      <c r="C422" s="1">
        <v>91.9</v>
      </c>
    </row>
    <row r="423" spans="1:3" x14ac:dyDescent="0.25">
      <c r="A423" t="s">
        <v>226</v>
      </c>
      <c r="B423" s="1">
        <v>39.4</v>
      </c>
      <c r="C423" s="1">
        <v>92.433333333333337</v>
      </c>
    </row>
    <row r="424" spans="1:3" x14ac:dyDescent="0.25">
      <c r="A424" t="s">
        <v>227</v>
      </c>
      <c r="B424" s="1">
        <v>36.766666666666666</v>
      </c>
      <c r="C424" s="1">
        <v>90.416666666666671</v>
      </c>
    </row>
    <row r="425" spans="1:3" x14ac:dyDescent="0.25">
      <c r="A425" t="s">
        <v>228</v>
      </c>
      <c r="B425" s="1">
        <v>37.983333333333334</v>
      </c>
      <c r="C425" s="1">
        <v>91.716666666666669</v>
      </c>
    </row>
    <row r="426" spans="1:3" x14ac:dyDescent="0.25">
      <c r="A426" t="s">
        <v>597</v>
      </c>
      <c r="B426" s="1">
        <v>39.766666666666666</v>
      </c>
      <c r="C426" s="1">
        <v>94.916666666666671</v>
      </c>
    </row>
    <row r="427" spans="1:3" x14ac:dyDescent="0.25">
      <c r="A427" t="s">
        <v>598</v>
      </c>
      <c r="B427" s="1">
        <v>38.75</v>
      </c>
      <c r="C427" s="1">
        <v>90.38333333333334</v>
      </c>
    </row>
    <row r="428" spans="1:3" x14ac:dyDescent="0.25">
      <c r="A428" t="s">
        <v>229</v>
      </c>
      <c r="B428" s="1">
        <v>38.65</v>
      </c>
      <c r="C428" s="1">
        <v>90.63333333333334</v>
      </c>
    </row>
    <row r="429" spans="1:3" x14ac:dyDescent="0.25">
      <c r="A429" t="s">
        <v>230</v>
      </c>
      <c r="B429" s="1">
        <v>36.883333333333333</v>
      </c>
      <c r="C429" s="1">
        <v>89.6</v>
      </c>
    </row>
    <row r="430" spans="1:3" x14ac:dyDescent="0.25">
      <c r="A430" t="s">
        <v>231</v>
      </c>
      <c r="B430" s="1">
        <v>38.716666666666669</v>
      </c>
      <c r="C430" s="1">
        <v>93.55</v>
      </c>
    </row>
    <row r="431" spans="1:3" x14ac:dyDescent="0.25">
      <c r="A431" t="s">
        <v>230</v>
      </c>
      <c r="B431" s="1">
        <v>36.883333333333333</v>
      </c>
      <c r="C431" s="1">
        <v>89.6</v>
      </c>
    </row>
    <row r="432" spans="1:3" x14ac:dyDescent="0.25">
      <c r="A432" t="s">
        <v>318</v>
      </c>
      <c r="B432" s="1">
        <v>37.233333333333334</v>
      </c>
      <c r="C432" s="1">
        <v>93.38333333333334</v>
      </c>
    </row>
    <row r="434" spans="1:3" x14ac:dyDescent="0.25">
      <c r="A434" t="s">
        <v>232</v>
      </c>
      <c r="B434" t="s">
        <v>7</v>
      </c>
      <c r="C434" t="s">
        <v>8</v>
      </c>
    </row>
    <row r="435" spans="1:3" x14ac:dyDescent="0.25">
      <c r="A435" t="s">
        <v>599</v>
      </c>
      <c r="B435" s="1">
        <v>45.8</v>
      </c>
      <c r="C435" s="1">
        <v>108.53333333333333</v>
      </c>
    </row>
    <row r="436" spans="1:3" x14ac:dyDescent="0.25">
      <c r="A436" t="s">
        <v>233</v>
      </c>
      <c r="B436" s="1">
        <v>45.783333333333331</v>
      </c>
      <c r="C436" s="1">
        <v>111.15</v>
      </c>
    </row>
    <row r="437" spans="1:3" x14ac:dyDescent="0.25">
      <c r="A437" t="s">
        <v>600</v>
      </c>
      <c r="B437" s="1">
        <v>45.95</v>
      </c>
      <c r="C437" s="1">
        <v>112.5</v>
      </c>
    </row>
    <row r="438" spans="1:3" x14ac:dyDescent="0.25">
      <c r="A438" t="s">
        <v>601</v>
      </c>
      <c r="B438" s="1">
        <v>48.616666666666667</v>
      </c>
      <c r="C438" s="1">
        <v>112.36666666666666</v>
      </c>
    </row>
    <row r="439" spans="1:3" x14ac:dyDescent="0.25">
      <c r="A439" t="s">
        <v>602</v>
      </c>
      <c r="B439" s="1">
        <v>48.416666666666664</v>
      </c>
      <c r="C439" s="1">
        <v>106.53333333333333</v>
      </c>
    </row>
    <row r="440" spans="1:3" x14ac:dyDescent="0.25">
      <c r="A440" t="s">
        <v>234</v>
      </c>
      <c r="B440" s="1">
        <v>47.133333333333333</v>
      </c>
      <c r="C440" s="1">
        <v>104.8</v>
      </c>
    </row>
    <row r="441" spans="1:3" x14ac:dyDescent="0.25">
      <c r="A441" t="s">
        <v>603</v>
      </c>
      <c r="B441" s="1">
        <v>47.483333333333334</v>
      </c>
      <c r="C441" s="1">
        <v>111.36666666666666</v>
      </c>
    </row>
    <row r="442" spans="1:3" x14ac:dyDescent="0.25">
      <c r="A442" t="s">
        <v>235</v>
      </c>
      <c r="B442" s="1">
        <v>48.56666666666667</v>
      </c>
      <c r="C442" s="1">
        <v>109.66666666666667</v>
      </c>
    </row>
    <row r="443" spans="1:3" x14ac:dyDescent="0.25">
      <c r="A443" t="s">
        <v>604</v>
      </c>
      <c r="B443" s="1">
        <v>46.6</v>
      </c>
      <c r="C443" s="1">
        <v>112</v>
      </c>
    </row>
    <row r="444" spans="1:3" x14ac:dyDescent="0.25">
      <c r="A444" t="s">
        <v>605</v>
      </c>
      <c r="B444" s="1">
        <v>48.3</v>
      </c>
      <c r="C444" s="1">
        <v>114.26666666666667</v>
      </c>
    </row>
    <row r="445" spans="1:3" x14ac:dyDescent="0.25">
      <c r="A445" t="s">
        <v>174</v>
      </c>
      <c r="B445" s="1">
        <v>47.06666666666667</v>
      </c>
      <c r="C445" s="1">
        <v>109.45</v>
      </c>
    </row>
    <row r="446" spans="1:3" x14ac:dyDescent="0.25">
      <c r="A446" t="s">
        <v>606</v>
      </c>
      <c r="B446" s="1">
        <v>45.7</v>
      </c>
      <c r="C446" s="1">
        <v>110.43333333333334</v>
      </c>
    </row>
    <row r="447" spans="1:3" x14ac:dyDescent="0.25">
      <c r="A447" t="s">
        <v>607</v>
      </c>
      <c r="B447" s="1">
        <v>46.43333333333333</v>
      </c>
      <c r="C447" s="1">
        <v>105.86666666666666</v>
      </c>
    </row>
    <row r="448" spans="1:3" x14ac:dyDescent="0.25">
      <c r="A448" t="s">
        <v>608</v>
      </c>
      <c r="B448" s="1">
        <v>46.916666666666664</v>
      </c>
      <c r="C448" s="1">
        <v>114.08333333333333</v>
      </c>
    </row>
    <row r="450" spans="1:3" x14ac:dyDescent="0.25">
      <c r="A450" t="s">
        <v>236</v>
      </c>
      <c r="B450" t="s">
        <v>7</v>
      </c>
      <c r="C450" t="s">
        <v>8</v>
      </c>
    </row>
    <row r="451" spans="1:3" x14ac:dyDescent="0.25">
      <c r="A451" t="s">
        <v>237</v>
      </c>
      <c r="B451" s="1">
        <v>40.266666666666666</v>
      </c>
      <c r="C451" s="1">
        <v>96.75</v>
      </c>
    </row>
    <row r="452" spans="1:3" x14ac:dyDescent="0.25">
      <c r="A452" t="s">
        <v>609</v>
      </c>
      <c r="B452" s="1">
        <v>42.833333333333336</v>
      </c>
      <c r="C452" s="1">
        <v>103.08333333333333</v>
      </c>
    </row>
    <row r="453" spans="1:3" x14ac:dyDescent="0.25">
      <c r="A453" t="s">
        <v>238</v>
      </c>
      <c r="B453" s="1">
        <v>41.466666666666669</v>
      </c>
      <c r="C453" s="1">
        <v>97.333333333333329</v>
      </c>
    </row>
    <row r="454" spans="1:3" x14ac:dyDescent="0.25">
      <c r="A454" t="s">
        <v>239</v>
      </c>
      <c r="B454" s="1">
        <v>41.43333333333333</v>
      </c>
      <c r="C454" s="1">
        <v>96.483333333333334</v>
      </c>
    </row>
    <row r="455" spans="1:3" x14ac:dyDescent="0.25">
      <c r="A455" t="s">
        <v>610</v>
      </c>
      <c r="B455" s="1">
        <v>40.983333333333334</v>
      </c>
      <c r="C455" s="1">
        <v>98.316666666666663</v>
      </c>
    </row>
    <row r="456" spans="1:3" x14ac:dyDescent="0.25">
      <c r="A456" t="s">
        <v>240</v>
      </c>
      <c r="B456" s="1">
        <v>40.6</v>
      </c>
      <c r="C456" s="1">
        <v>98.433333333333337</v>
      </c>
    </row>
    <row r="457" spans="1:3" x14ac:dyDescent="0.25">
      <c r="A457" t="s">
        <v>241</v>
      </c>
      <c r="B457" s="1">
        <v>40.733333333333334</v>
      </c>
      <c r="C457" s="1">
        <v>99.016666666666666</v>
      </c>
    </row>
    <row r="458" spans="1:3" x14ac:dyDescent="0.25">
      <c r="A458" t="s">
        <v>611</v>
      </c>
      <c r="B458" s="1">
        <v>40.85</v>
      </c>
      <c r="C458" s="1">
        <v>96.75</v>
      </c>
    </row>
    <row r="459" spans="1:3" x14ac:dyDescent="0.25">
      <c r="A459" t="s">
        <v>242</v>
      </c>
      <c r="B459" s="1">
        <v>40.200000000000003</v>
      </c>
      <c r="C459" s="1">
        <v>100.63333333333334</v>
      </c>
    </row>
    <row r="460" spans="1:3" x14ac:dyDescent="0.25">
      <c r="A460" t="s">
        <v>243</v>
      </c>
      <c r="B460" s="1">
        <v>41.983333333333334</v>
      </c>
      <c r="C460" s="1">
        <v>97.433333333333337</v>
      </c>
    </row>
    <row r="461" spans="1:3" x14ac:dyDescent="0.25">
      <c r="A461" t="s">
        <v>612</v>
      </c>
      <c r="B461" s="1">
        <v>41.133333333333333</v>
      </c>
      <c r="C461" s="1">
        <v>100.68333333333334</v>
      </c>
    </row>
    <row r="462" spans="1:3" x14ac:dyDescent="0.25">
      <c r="A462" t="s">
        <v>613</v>
      </c>
      <c r="B462" s="1">
        <v>41.3</v>
      </c>
      <c r="C462" s="1">
        <v>95.9</v>
      </c>
    </row>
    <row r="463" spans="1:3" x14ac:dyDescent="0.25">
      <c r="A463" t="s">
        <v>614</v>
      </c>
      <c r="B463" s="1">
        <v>41.866666666666667</v>
      </c>
      <c r="C463" s="1">
        <v>103.6</v>
      </c>
    </row>
    <row r="464" spans="1:3" x14ac:dyDescent="0.25">
      <c r="A464" t="s">
        <v>615</v>
      </c>
      <c r="B464" s="1">
        <v>41.216666666666669</v>
      </c>
      <c r="C464" s="1">
        <v>103.1</v>
      </c>
    </row>
    <row r="466" spans="1:3" x14ac:dyDescent="0.25">
      <c r="A466" t="s">
        <v>244</v>
      </c>
      <c r="B466" t="s">
        <v>7</v>
      </c>
      <c r="C466" t="s">
        <v>8</v>
      </c>
    </row>
    <row r="467" spans="1:3" x14ac:dyDescent="0.25">
      <c r="A467" t="s">
        <v>245</v>
      </c>
      <c r="B467" s="1">
        <v>39.166666666666664</v>
      </c>
      <c r="C467" s="1">
        <v>119.76666666666667</v>
      </c>
    </row>
    <row r="468" spans="1:3" x14ac:dyDescent="0.25">
      <c r="A468" t="s">
        <v>616</v>
      </c>
      <c r="B468" s="1">
        <v>40.833333333333336</v>
      </c>
      <c r="C468" s="1">
        <v>115.78333333333333</v>
      </c>
    </row>
    <row r="469" spans="1:3" x14ac:dyDescent="0.25">
      <c r="A469" t="s">
        <v>617</v>
      </c>
      <c r="B469" s="1">
        <v>39.283333333333331</v>
      </c>
      <c r="C469" s="1">
        <v>114.85</v>
      </c>
    </row>
    <row r="470" spans="1:3" x14ac:dyDescent="0.25">
      <c r="A470" t="s">
        <v>618</v>
      </c>
      <c r="B470" s="1">
        <v>36.083333333333336</v>
      </c>
      <c r="C470" s="1">
        <v>115.16666666666667</v>
      </c>
    </row>
    <row r="471" spans="1:3" x14ac:dyDescent="0.25">
      <c r="A471" t="s">
        <v>619</v>
      </c>
      <c r="B471" s="1">
        <v>40.06666666666667</v>
      </c>
      <c r="C471" s="1">
        <v>118.55</v>
      </c>
    </row>
    <row r="472" spans="1:3" x14ac:dyDescent="0.25">
      <c r="A472" t="s">
        <v>620</v>
      </c>
      <c r="B472" s="1">
        <v>39.5</v>
      </c>
      <c r="C472" s="1">
        <v>119.78333333333333</v>
      </c>
    </row>
    <row r="473" spans="1:3" x14ac:dyDescent="0.25">
      <c r="A473" t="s">
        <v>246</v>
      </c>
      <c r="B473" s="1">
        <v>39.5</v>
      </c>
      <c r="C473" s="1">
        <v>119.78333333333333</v>
      </c>
    </row>
    <row r="474" spans="1:3" x14ac:dyDescent="0.25">
      <c r="A474" t="s">
        <v>621</v>
      </c>
      <c r="B474" s="1">
        <v>38.06666666666667</v>
      </c>
      <c r="C474" s="1">
        <v>117.08333333333333</v>
      </c>
    </row>
    <row r="475" spans="1:3" x14ac:dyDescent="0.25">
      <c r="A475" t="s">
        <v>622</v>
      </c>
      <c r="B475" s="1">
        <v>40.9</v>
      </c>
      <c r="C475" s="1">
        <v>117.8</v>
      </c>
    </row>
    <row r="477" spans="1:3" x14ac:dyDescent="0.25">
      <c r="A477" t="s">
        <v>247</v>
      </c>
      <c r="B477" t="s">
        <v>7</v>
      </c>
      <c r="C477" t="s">
        <v>8</v>
      </c>
    </row>
    <row r="478" spans="1:3" x14ac:dyDescent="0.25">
      <c r="A478" t="s">
        <v>248</v>
      </c>
      <c r="B478" s="1">
        <v>44.05</v>
      </c>
      <c r="C478" s="1">
        <v>71.016666666666666</v>
      </c>
    </row>
    <row r="479" spans="1:3" x14ac:dyDescent="0.25">
      <c r="A479" t="s">
        <v>249</v>
      </c>
      <c r="B479" s="1">
        <v>43.033333333333331</v>
      </c>
      <c r="C479" s="1">
        <v>72.033333333333331</v>
      </c>
    </row>
    <row r="480" spans="1:3" x14ac:dyDescent="0.25">
      <c r="A480" t="s">
        <v>19</v>
      </c>
      <c r="B480" s="1">
        <v>43.2</v>
      </c>
      <c r="C480" s="1">
        <v>71.5</v>
      </c>
    </row>
    <row r="481" spans="1:3" x14ac:dyDescent="0.25">
      <c r="A481" t="s">
        <v>250</v>
      </c>
      <c r="B481" s="1">
        <v>42.916666666666664</v>
      </c>
      <c r="C481" s="1">
        <v>72.283333333333331</v>
      </c>
    </row>
    <row r="482" spans="1:3" x14ac:dyDescent="0.25">
      <c r="A482" t="s">
        <v>251</v>
      </c>
      <c r="B482" s="1">
        <v>43.05</v>
      </c>
      <c r="C482" s="1">
        <v>71.05</v>
      </c>
    </row>
    <row r="483" spans="1:3" x14ac:dyDescent="0.25">
      <c r="A483" t="s">
        <v>252</v>
      </c>
      <c r="B483" s="1">
        <v>42.93333333333333</v>
      </c>
      <c r="C483" s="1">
        <v>71.433333333333337</v>
      </c>
    </row>
    <row r="484" spans="1:3" x14ac:dyDescent="0.25">
      <c r="A484" t="s">
        <v>253</v>
      </c>
      <c r="B484" s="1">
        <v>43.06666666666667</v>
      </c>
      <c r="C484" s="1">
        <v>70.816666666666663</v>
      </c>
    </row>
    <row r="486" spans="1:3" x14ac:dyDescent="0.25">
      <c r="A486" t="s">
        <v>254</v>
      </c>
      <c r="B486" t="s">
        <v>7</v>
      </c>
      <c r="C486" t="s">
        <v>8</v>
      </c>
    </row>
    <row r="487" spans="1:3" x14ac:dyDescent="0.25">
      <c r="A487" t="s">
        <v>255</v>
      </c>
      <c r="B487" s="1">
        <v>39.383333333333333</v>
      </c>
      <c r="C487" s="1">
        <v>74.433333333333337</v>
      </c>
    </row>
    <row r="488" spans="1:3" x14ac:dyDescent="0.25">
      <c r="A488" t="s">
        <v>256</v>
      </c>
      <c r="B488" s="1">
        <v>40.31666666666667</v>
      </c>
      <c r="C488" s="1">
        <v>74.016666666666666</v>
      </c>
    </row>
    <row r="489" spans="1:3" x14ac:dyDescent="0.25">
      <c r="A489" t="s">
        <v>315</v>
      </c>
      <c r="B489" s="1">
        <v>40.700000000000003</v>
      </c>
      <c r="C489" s="1">
        <v>74.166666666666671</v>
      </c>
    </row>
    <row r="490" spans="1:3" x14ac:dyDescent="0.25">
      <c r="A490" t="s">
        <v>257</v>
      </c>
      <c r="B490" s="1">
        <v>40.483333333333334</v>
      </c>
      <c r="C490" s="1">
        <v>74.433333333333337</v>
      </c>
    </row>
    <row r="491" spans="1:3" x14ac:dyDescent="0.25">
      <c r="A491" t="s">
        <v>258</v>
      </c>
      <c r="B491" s="1">
        <v>40.9</v>
      </c>
      <c r="C491" s="1">
        <v>74.150000000000006</v>
      </c>
    </row>
    <row r="492" spans="1:3" x14ac:dyDescent="0.25">
      <c r="A492" t="s">
        <v>259</v>
      </c>
      <c r="B492" s="1">
        <v>40.68333333333333</v>
      </c>
      <c r="C492" s="1">
        <v>75.183333333333337</v>
      </c>
    </row>
    <row r="493" spans="1:3" x14ac:dyDescent="0.25">
      <c r="A493" t="s">
        <v>260</v>
      </c>
      <c r="B493" s="1">
        <v>40.216666666666669</v>
      </c>
      <c r="C493" s="1">
        <v>74.766666666666666</v>
      </c>
    </row>
    <row r="494" spans="1:3" x14ac:dyDescent="0.25">
      <c r="A494" t="s">
        <v>261</v>
      </c>
      <c r="B494" s="1">
        <v>39.483333333333334</v>
      </c>
      <c r="C494" s="1">
        <v>75</v>
      </c>
    </row>
    <row r="496" spans="1:3" x14ac:dyDescent="0.25">
      <c r="A496" t="s">
        <v>262</v>
      </c>
      <c r="B496" t="s">
        <v>7</v>
      </c>
      <c r="C496" t="s">
        <v>8</v>
      </c>
    </row>
    <row r="497" spans="1:3" x14ac:dyDescent="0.25">
      <c r="A497" t="s">
        <v>263</v>
      </c>
      <c r="B497" s="1">
        <v>32.85</v>
      </c>
      <c r="C497" s="1">
        <v>106.1</v>
      </c>
    </row>
    <row r="498" spans="1:3" x14ac:dyDescent="0.25">
      <c r="A498" t="s">
        <v>623</v>
      </c>
      <c r="B498" s="1">
        <v>35.049999999999997</v>
      </c>
      <c r="C498" s="1">
        <v>106.61666666666666</v>
      </c>
    </row>
    <row r="499" spans="1:3" x14ac:dyDescent="0.25">
      <c r="A499" t="s">
        <v>264</v>
      </c>
      <c r="B499" s="1">
        <v>32.766666666666666</v>
      </c>
      <c r="C499" s="1">
        <v>104.38333333333334</v>
      </c>
    </row>
    <row r="500" spans="1:3" x14ac:dyDescent="0.25">
      <c r="A500" t="s">
        <v>624</v>
      </c>
      <c r="B500" s="1">
        <v>32.333333333333336</v>
      </c>
      <c r="C500" s="1">
        <v>104.26666666666667</v>
      </c>
    </row>
    <row r="501" spans="1:3" x14ac:dyDescent="0.25">
      <c r="A501" t="s">
        <v>625</v>
      </c>
      <c r="B501" s="1">
        <v>34.383333333333333</v>
      </c>
      <c r="C501" s="1">
        <v>103.31666666666666</v>
      </c>
    </row>
    <row r="502" spans="1:3" x14ac:dyDescent="0.25">
      <c r="A502" t="s">
        <v>593</v>
      </c>
      <c r="B502" s="1">
        <v>36.733333333333334</v>
      </c>
      <c r="C502" s="1">
        <v>108.23333333333333</v>
      </c>
    </row>
    <row r="503" spans="1:3" x14ac:dyDescent="0.25">
      <c r="A503" t="s">
        <v>265</v>
      </c>
      <c r="B503" s="1">
        <v>35.516666666666666</v>
      </c>
      <c r="C503" s="1">
        <v>108.78333333333333</v>
      </c>
    </row>
    <row r="504" spans="1:3" x14ac:dyDescent="0.25">
      <c r="A504" t="s">
        <v>266</v>
      </c>
      <c r="B504" s="1">
        <v>35.166666666666664</v>
      </c>
      <c r="C504" s="1">
        <v>107.9</v>
      </c>
    </row>
    <row r="505" spans="1:3" x14ac:dyDescent="0.25">
      <c r="A505" t="s">
        <v>626</v>
      </c>
      <c r="B505" s="1">
        <v>32.75</v>
      </c>
      <c r="C505" s="1">
        <v>103.21666666666667</v>
      </c>
    </row>
    <row r="506" spans="1:3" x14ac:dyDescent="0.25">
      <c r="A506" t="s">
        <v>267</v>
      </c>
      <c r="B506" s="1">
        <v>32.299999999999997</v>
      </c>
      <c r="C506" s="1">
        <v>106.91666666666667</v>
      </c>
    </row>
    <row r="507" spans="1:3" x14ac:dyDescent="0.25">
      <c r="A507" t="s">
        <v>268</v>
      </c>
      <c r="B507" s="1">
        <v>35.866666666666667</v>
      </c>
      <c r="C507" s="1">
        <v>106.31666666666666</v>
      </c>
    </row>
    <row r="508" spans="1:3" x14ac:dyDescent="0.25">
      <c r="A508" t="s">
        <v>627</v>
      </c>
      <c r="B508" s="1">
        <v>36.75</v>
      </c>
      <c r="C508" s="1">
        <v>104.5</v>
      </c>
    </row>
    <row r="509" spans="1:3" x14ac:dyDescent="0.25">
      <c r="A509" t="s">
        <v>269</v>
      </c>
      <c r="B509" s="1">
        <v>33.299999999999997</v>
      </c>
      <c r="C509" s="1">
        <v>104.53333333333333</v>
      </c>
    </row>
    <row r="510" spans="1:3" x14ac:dyDescent="0.25">
      <c r="A510" t="s">
        <v>270</v>
      </c>
      <c r="B510" s="1">
        <v>35.616666666666667</v>
      </c>
      <c r="C510" s="1">
        <v>106.08333333333333</v>
      </c>
    </row>
    <row r="511" spans="1:3" x14ac:dyDescent="0.25">
      <c r="A511" t="s">
        <v>628</v>
      </c>
      <c r="B511" s="1">
        <v>32.633333333333333</v>
      </c>
      <c r="C511" s="1">
        <v>108.16666666666667</v>
      </c>
    </row>
    <row r="512" spans="1:3" x14ac:dyDescent="0.25">
      <c r="A512" t="s">
        <v>629</v>
      </c>
      <c r="B512" s="1">
        <v>34.049999999999997</v>
      </c>
      <c r="C512" s="1">
        <v>106.88333333333334</v>
      </c>
    </row>
    <row r="513" spans="1:3" x14ac:dyDescent="0.25">
      <c r="A513" t="s">
        <v>630</v>
      </c>
      <c r="B513" s="1">
        <v>35.18333333333333</v>
      </c>
      <c r="C513" s="1">
        <v>103.6</v>
      </c>
    </row>
    <row r="515" spans="1:3" x14ac:dyDescent="0.25">
      <c r="A515" t="s">
        <v>271</v>
      </c>
      <c r="B515" t="s">
        <v>7</v>
      </c>
      <c r="C515" t="s">
        <v>8</v>
      </c>
    </row>
    <row r="516" spans="1:3" x14ac:dyDescent="0.25">
      <c r="A516" t="s">
        <v>335</v>
      </c>
      <c r="B516" s="1">
        <v>42.75</v>
      </c>
      <c r="C516" s="1">
        <v>73.8</v>
      </c>
    </row>
    <row r="517" spans="1:3" x14ac:dyDescent="0.25">
      <c r="A517" t="s">
        <v>272</v>
      </c>
      <c r="B517" s="1">
        <v>42.65</v>
      </c>
      <c r="C517" s="1">
        <v>73.75</v>
      </c>
    </row>
    <row r="518" spans="1:3" x14ac:dyDescent="0.25">
      <c r="A518" t="s">
        <v>1</v>
      </c>
      <c r="B518" s="1">
        <v>42.9</v>
      </c>
      <c r="C518" s="1">
        <v>76.533333333333331</v>
      </c>
    </row>
    <row r="519" spans="1:3" x14ac:dyDescent="0.25">
      <c r="A519" t="s">
        <v>273</v>
      </c>
      <c r="B519" s="1">
        <v>43</v>
      </c>
      <c r="C519" s="1">
        <v>78.183333333333337</v>
      </c>
    </row>
    <row r="520" spans="1:3" x14ac:dyDescent="0.25">
      <c r="A520" t="s">
        <v>631</v>
      </c>
      <c r="B520" s="1">
        <v>42.216666666666669</v>
      </c>
      <c r="C520" s="1">
        <v>75.983333333333334</v>
      </c>
    </row>
    <row r="521" spans="1:3" x14ac:dyDescent="0.25">
      <c r="A521" t="s">
        <v>632</v>
      </c>
      <c r="B521" s="1">
        <v>42.93333333333333</v>
      </c>
      <c r="C521" s="1">
        <v>78.733333333333334</v>
      </c>
    </row>
    <row r="522" spans="1:3" x14ac:dyDescent="0.25">
      <c r="A522" t="s">
        <v>274</v>
      </c>
      <c r="B522" s="1">
        <v>42.6</v>
      </c>
      <c r="C522" s="1">
        <v>76.183333333333337</v>
      </c>
    </row>
    <row r="523" spans="1:3" x14ac:dyDescent="0.25">
      <c r="A523" t="s">
        <v>275</v>
      </c>
      <c r="B523" s="1">
        <v>42.483333333333334</v>
      </c>
      <c r="C523" s="1">
        <v>79.266666666666666</v>
      </c>
    </row>
    <row r="524" spans="1:3" x14ac:dyDescent="0.25">
      <c r="A524" t="s">
        <v>633</v>
      </c>
      <c r="B524" s="1">
        <v>42.166666666666664</v>
      </c>
      <c r="C524" s="1">
        <v>76.900000000000006</v>
      </c>
    </row>
    <row r="525" spans="1:3" x14ac:dyDescent="0.25">
      <c r="A525" t="s">
        <v>634</v>
      </c>
      <c r="B525" s="1">
        <v>42.75</v>
      </c>
      <c r="C525" s="1">
        <v>76.900000000000006</v>
      </c>
    </row>
    <row r="526" spans="1:3" x14ac:dyDescent="0.25">
      <c r="A526" t="s">
        <v>276</v>
      </c>
      <c r="B526" s="1">
        <v>43.333333333333336</v>
      </c>
      <c r="C526" s="1">
        <v>73.61666666666666</v>
      </c>
    </row>
    <row r="527" spans="1:3" x14ac:dyDescent="0.25">
      <c r="A527" t="s">
        <v>277</v>
      </c>
      <c r="B527" s="1">
        <v>43.033333333333331</v>
      </c>
      <c r="C527" s="1">
        <v>74.349999999999994</v>
      </c>
    </row>
    <row r="528" spans="1:3" x14ac:dyDescent="0.25">
      <c r="A528" t="s">
        <v>278</v>
      </c>
      <c r="B528" s="1">
        <v>42.35</v>
      </c>
      <c r="C528" s="1">
        <v>77.7</v>
      </c>
    </row>
    <row r="529" spans="1:3" x14ac:dyDescent="0.25">
      <c r="A529" t="s">
        <v>635</v>
      </c>
      <c r="B529" s="1">
        <v>42.45</v>
      </c>
      <c r="C529" s="1">
        <v>76.483333333333334</v>
      </c>
    </row>
    <row r="530" spans="1:3" x14ac:dyDescent="0.25">
      <c r="A530" t="s">
        <v>279</v>
      </c>
      <c r="B530" s="1">
        <v>42.116666666666667</v>
      </c>
      <c r="C530" s="1">
        <v>79.233333333333334</v>
      </c>
    </row>
    <row r="531" spans="1:3" x14ac:dyDescent="0.25">
      <c r="A531" t="s">
        <v>280</v>
      </c>
      <c r="B531" s="1">
        <v>41.93333333333333</v>
      </c>
      <c r="C531" s="1">
        <v>74</v>
      </c>
    </row>
    <row r="532" spans="1:3" x14ac:dyDescent="0.25">
      <c r="A532" t="s">
        <v>281</v>
      </c>
      <c r="B532" s="1">
        <v>43.15</v>
      </c>
      <c r="C532" s="1">
        <v>79.25</v>
      </c>
    </row>
    <row r="533" spans="1:3" x14ac:dyDescent="0.25">
      <c r="A533" t="s">
        <v>636</v>
      </c>
      <c r="B533" s="1">
        <v>44.93333333333333</v>
      </c>
      <c r="C533" s="1">
        <v>74.849999999999994</v>
      </c>
    </row>
    <row r="534" spans="1:3" x14ac:dyDescent="0.25">
      <c r="A534" t="s">
        <v>282</v>
      </c>
      <c r="B534" s="1">
        <v>41.5</v>
      </c>
      <c r="C534" s="1">
        <v>74.099999999999994</v>
      </c>
    </row>
    <row r="535" spans="1:3" x14ac:dyDescent="0.25">
      <c r="A535" t="s">
        <v>637</v>
      </c>
      <c r="B535" s="1">
        <v>40.783333333333331</v>
      </c>
      <c r="C535" s="1">
        <v>73.966666666666669</v>
      </c>
    </row>
    <row r="536" spans="1:3" x14ac:dyDescent="0.25">
      <c r="A536" t="s">
        <v>638</v>
      </c>
      <c r="B536" s="1">
        <v>40.65</v>
      </c>
      <c r="C536" s="1">
        <v>73.783333333333331</v>
      </c>
    </row>
    <row r="537" spans="1:3" x14ac:dyDescent="0.25">
      <c r="A537" t="s">
        <v>639</v>
      </c>
      <c r="B537" s="1">
        <v>40.766666666666666</v>
      </c>
      <c r="C537" s="1">
        <v>73.900000000000006</v>
      </c>
    </row>
    <row r="538" spans="1:3" x14ac:dyDescent="0.25">
      <c r="A538" t="s">
        <v>640</v>
      </c>
      <c r="B538" s="1">
        <v>43.1</v>
      </c>
      <c r="C538" s="1">
        <v>79.95</v>
      </c>
    </row>
    <row r="539" spans="1:3" x14ac:dyDescent="0.25">
      <c r="A539" t="s">
        <v>283</v>
      </c>
      <c r="B539" s="1">
        <v>42.233333333333334</v>
      </c>
      <c r="C539" s="1">
        <v>78.36666666666666</v>
      </c>
    </row>
    <row r="540" spans="1:3" x14ac:dyDescent="0.25">
      <c r="A540" t="s">
        <v>284</v>
      </c>
      <c r="B540" s="1">
        <v>42.516666666666666</v>
      </c>
      <c r="C540" s="1">
        <v>75.066666666666663</v>
      </c>
    </row>
    <row r="541" spans="1:3" x14ac:dyDescent="0.25">
      <c r="A541" t="s">
        <v>285</v>
      </c>
      <c r="B541" s="1">
        <v>43.466666666666669</v>
      </c>
      <c r="C541" s="1">
        <v>76.55</v>
      </c>
    </row>
    <row r="542" spans="1:3" x14ac:dyDescent="0.25">
      <c r="A542" t="s">
        <v>286</v>
      </c>
      <c r="B542" s="1">
        <v>44.65</v>
      </c>
      <c r="C542" s="1">
        <v>73.466666666666669</v>
      </c>
    </row>
    <row r="543" spans="1:3" x14ac:dyDescent="0.25">
      <c r="A543" t="s">
        <v>287</v>
      </c>
      <c r="B543" s="1">
        <v>41.633333333333333</v>
      </c>
      <c r="C543" s="1">
        <v>73.916666666666671</v>
      </c>
    </row>
    <row r="544" spans="1:3" x14ac:dyDescent="0.25">
      <c r="A544" t="s">
        <v>589</v>
      </c>
      <c r="B544" s="1">
        <v>43.116666666666667</v>
      </c>
      <c r="C544" s="1">
        <v>77.666666666666671</v>
      </c>
    </row>
    <row r="545" spans="1:3" x14ac:dyDescent="0.25">
      <c r="A545" t="s">
        <v>288</v>
      </c>
      <c r="B545" s="1">
        <v>43.233333333333334</v>
      </c>
      <c r="C545" s="1">
        <v>75.416666666666671</v>
      </c>
    </row>
    <row r="546" spans="1:3" x14ac:dyDescent="0.25">
      <c r="A546" t="s">
        <v>641</v>
      </c>
      <c r="B546" s="1">
        <v>42.85</v>
      </c>
      <c r="C546" s="1">
        <v>73.95</v>
      </c>
    </row>
    <row r="547" spans="1:3" x14ac:dyDescent="0.25">
      <c r="A547" t="s">
        <v>289</v>
      </c>
      <c r="B547" s="1">
        <v>40.85</v>
      </c>
      <c r="C547" s="1">
        <v>72.63333333333334</v>
      </c>
    </row>
    <row r="548" spans="1:3" x14ac:dyDescent="0.25">
      <c r="A548" t="s">
        <v>642</v>
      </c>
      <c r="B548" s="1">
        <v>43.116666666666667</v>
      </c>
      <c r="C548" s="1">
        <v>76.11666666666666</v>
      </c>
    </row>
    <row r="549" spans="1:3" x14ac:dyDescent="0.25">
      <c r="A549" t="s">
        <v>290</v>
      </c>
      <c r="B549" s="1">
        <v>43.15</v>
      </c>
      <c r="C549" s="1">
        <v>75.38333333333334</v>
      </c>
    </row>
    <row r="550" spans="1:3" x14ac:dyDescent="0.25">
      <c r="A550" t="s">
        <v>291</v>
      </c>
      <c r="B550" s="1">
        <v>43.983333333333334</v>
      </c>
      <c r="C550" s="1">
        <v>76.016666666666666</v>
      </c>
    </row>
    <row r="552" spans="1:3" x14ac:dyDescent="0.25">
      <c r="A552" t="s">
        <v>292</v>
      </c>
      <c r="B552" t="s">
        <v>7</v>
      </c>
      <c r="C552" t="s">
        <v>8</v>
      </c>
    </row>
    <row r="553" spans="1:3" x14ac:dyDescent="0.25">
      <c r="A553" t="s">
        <v>643</v>
      </c>
      <c r="B553" s="1">
        <v>35.43333333333333</v>
      </c>
      <c r="C553" s="1">
        <v>82.533333333333331</v>
      </c>
    </row>
    <row r="554" spans="1:3" x14ac:dyDescent="0.25">
      <c r="A554" t="s">
        <v>644</v>
      </c>
      <c r="B554" s="1">
        <v>35.216666666666669</v>
      </c>
      <c r="C554" s="1">
        <v>80.933333333333337</v>
      </c>
    </row>
    <row r="555" spans="1:3" x14ac:dyDescent="0.25">
      <c r="A555" t="s">
        <v>293</v>
      </c>
      <c r="B555" s="1">
        <v>35.866666666666667</v>
      </c>
      <c r="C555" s="1">
        <v>78.783333333333331</v>
      </c>
    </row>
    <row r="556" spans="1:3" x14ac:dyDescent="0.25">
      <c r="A556" t="s">
        <v>645</v>
      </c>
      <c r="B556" s="1">
        <v>36.266666666666666</v>
      </c>
      <c r="C556" s="1">
        <v>76.183333333333337</v>
      </c>
    </row>
    <row r="557" spans="1:3" x14ac:dyDescent="0.25">
      <c r="A557" t="s">
        <v>294</v>
      </c>
      <c r="B557" s="1">
        <v>35.166666666666664</v>
      </c>
      <c r="C557" s="1">
        <v>79.016666666666666</v>
      </c>
    </row>
    <row r="558" spans="1:3" x14ac:dyDescent="0.25">
      <c r="A558" t="s">
        <v>295</v>
      </c>
      <c r="B558" s="1">
        <v>35.333333333333336</v>
      </c>
      <c r="C558" s="1">
        <v>77.966666666666669</v>
      </c>
    </row>
    <row r="559" spans="1:3" x14ac:dyDescent="0.25">
      <c r="A559" t="s">
        <v>646</v>
      </c>
      <c r="B559" s="1">
        <v>36.083333333333336</v>
      </c>
      <c r="C559" s="1">
        <v>79.95</v>
      </c>
    </row>
    <row r="560" spans="1:3" x14ac:dyDescent="0.25">
      <c r="A560" t="s">
        <v>118</v>
      </c>
      <c r="B560" s="1">
        <v>35.616666666666667</v>
      </c>
      <c r="C560" s="1">
        <v>77.416666666666671</v>
      </c>
    </row>
    <row r="561" spans="1:3" x14ac:dyDescent="0.25">
      <c r="A561" t="s">
        <v>296</v>
      </c>
      <c r="B561" s="1">
        <v>36.366666666666667</v>
      </c>
      <c r="C561" s="1">
        <v>78.416666666666671</v>
      </c>
    </row>
    <row r="562" spans="1:3" x14ac:dyDescent="0.25">
      <c r="A562" t="s">
        <v>297</v>
      </c>
      <c r="B562" s="1">
        <v>35.75</v>
      </c>
      <c r="C562" s="1">
        <v>81.38333333333334</v>
      </c>
    </row>
    <row r="563" spans="1:3" x14ac:dyDescent="0.25">
      <c r="A563" t="s">
        <v>298</v>
      </c>
      <c r="B563" s="1">
        <v>34.833333333333336</v>
      </c>
      <c r="C563" s="1">
        <v>77.61666666666666</v>
      </c>
    </row>
    <row r="564" spans="1:3" x14ac:dyDescent="0.25">
      <c r="A564" t="s">
        <v>299</v>
      </c>
      <c r="B564" s="1">
        <v>34.616666666666667</v>
      </c>
      <c r="C564" s="1">
        <v>79.066666666666663</v>
      </c>
    </row>
    <row r="565" spans="1:3" x14ac:dyDescent="0.25">
      <c r="A565" t="s">
        <v>647</v>
      </c>
      <c r="B565" s="1">
        <v>35.083333333333336</v>
      </c>
      <c r="C565" s="1">
        <v>77.05</v>
      </c>
    </row>
    <row r="566" spans="1:3" x14ac:dyDescent="0.25">
      <c r="A566" t="s">
        <v>648</v>
      </c>
      <c r="B566" s="1">
        <v>35.866666666666667</v>
      </c>
      <c r="C566" s="1">
        <v>78.783333333333331</v>
      </c>
    </row>
    <row r="567" spans="1:3" x14ac:dyDescent="0.25">
      <c r="A567" t="s">
        <v>300</v>
      </c>
      <c r="B567" s="1">
        <v>35.966666666666669</v>
      </c>
      <c r="C567" s="1">
        <v>77.8</v>
      </c>
    </row>
    <row r="568" spans="1:3" x14ac:dyDescent="0.25">
      <c r="A568" t="s">
        <v>505</v>
      </c>
      <c r="B568" s="1">
        <v>34.266666666666666</v>
      </c>
      <c r="C568" s="1">
        <v>77.916666666666671</v>
      </c>
    </row>
    <row r="569" spans="1:3" x14ac:dyDescent="0.25">
      <c r="A569" t="s">
        <v>649</v>
      </c>
      <c r="B569" s="1">
        <v>36.133333333333333</v>
      </c>
      <c r="C569" s="1">
        <v>80.216666666666669</v>
      </c>
    </row>
    <row r="571" spans="1:3" x14ac:dyDescent="0.25">
      <c r="A571" t="s">
        <v>301</v>
      </c>
      <c r="B571" t="s">
        <v>7</v>
      </c>
      <c r="C571" t="s">
        <v>8</v>
      </c>
    </row>
    <row r="572" spans="1:3" x14ac:dyDescent="0.25">
      <c r="A572" t="s">
        <v>650</v>
      </c>
      <c r="B572" s="1">
        <v>46.766666666666666</v>
      </c>
      <c r="C572" s="1">
        <v>100.75</v>
      </c>
    </row>
    <row r="573" spans="1:3" x14ac:dyDescent="0.25">
      <c r="A573" t="s">
        <v>302</v>
      </c>
      <c r="B573" s="1">
        <v>48.116666666666667</v>
      </c>
      <c r="C573" s="1">
        <v>98.9</v>
      </c>
    </row>
    <row r="574" spans="1:3" x14ac:dyDescent="0.25">
      <c r="A574" t="s">
        <v>651</v>
      </c>
      <c r="B574" s="1">
        <v>46.8</v>
      </c>
      <c r="C574" s="1">
        <v>102.8</v>
      </c>
    </row>
    <row r="575" spans="1:3" x14ac:dyDescent="0.25">
      <c r="A575" t="s">
        <v>652</v>
      </c>
      <c r="B575" s="1">
        <v>46.9</v>
      </c>
      <c r="C575" s="1">
        <v>96.8</v>
      </c>
    </row>
    <row r="576" spans="1:3" x14ac:dyDescent="0.25">
      <c r="A576" t="s">
        <v>653</v>
      </c>
      <c r="B576" s="1">
        <v>47.95</v>
      </c>
      <c r="C576" s="1">
        <v>97.4</v>
      </c>
    </row>
    <row r="577" spans="1:3" x14ac:dyDescent="0.25">
      <c r="A577" t="s">
        <v>279</v>
      </c>
      <c r="B577" s="1">
        <v>46.916666666666664</v>
      </c>
      <c r="C577" s="1">
        <v>98.683333333333337</v>
      </c>
    </row>
    <row r="578" spans="1:3" x14ac:dyDescent="0.25">
      <c r="A578" t="s">
        <v>654</v>
      </c>
      <c r="B578" s="1">
        <v>48.416666666666664</v>
      </c>
      <c r="C578" s="1">
        <v>101.35</v>
      </c>
    </row>
    <row r="579" spans="1:3" x14ac:dyDescent="0.25">
      <c r="A579" t="s">
        <v>303</v>
      </c>
      <c r="B579" s="1">
        <v>48.15</v>
      </c>
      <c r="C579" s="1">
        <v>103.58333333333333</v>
      </c>
    </row>
    <row r="581" spans="1:3" x14ac:dyDescent="0.25">
      <c r="A581" t="s">
        <v>304</v>
      </c>
      <c r="B581" t="s">
        <v>7</v>
      </c>
      <c r="C581" t="s">
        <v>8</v>
      </c>
    </row>
    <row r="582" spans="1:3" x14ac:dyDescent="0.25">
      <c r="A582" t="s">
        <v>655</v>
      </c>
      <c r="B582" s="1">
        <v>40.916666666666664</v>
      </c>
      <c r="C582" s="1">
        <v>81.433333333333337</v>
      </c>
    </row>
    <row r="583" spans="1:3" x14ac:dyDescent="0.25">
      <c r="A583" t="s">
        <v>305</v>
      </c>
      <c r="B583" s="1">
        <v>41.85</v>
      </c>
      <c r="C583" s="1">
        <v>80.8</v>
      </c>
    </row>
    <row r="584" spans="1:3" x14ac:dyDescent="0.25">
      <c r="A584" t="s">
        <v>87</v>
      </c>
      <c r="B584" s="1">
        <v>39.333333333333336</v>
      </c>
      <c r="C584" s="1">
        <v>82.1</v>
      </c>
    </row>
    <row r="585" spans="1:3" x14ac:dyDescent="0.25">
      <c r="A585" t="s">
        <v>306</v>
      </c>
      <c r="B585" s="1">
        <v>41.383333333333333</v>
      </c>
      <c r="C585" s="1">
        <v>83.63333333333334</v>
      </c>
    </row>
    <row r="586" spans="1:3" x14ac:dyDescent="0.25">
      <c r="A586" t="s">
        <v>307</v>
      </c>
      <c r="B586" s="1">
        <v>40.06666666666667</v>
      </c>
      <c r="C586" s="1">
        <v>81.583333333333329</v>
      </c>
    </row>
    <row r="587" spans="1:3" x14ac:dyDescent="0.25">
      <c r="A587" t="s">
        <v>308</v>
      </c>
      <c r="B587" s="1">
        <v>39.35</v>
      </c>
      <c r="C587" s="1">
        <v>83</v>
      </c>
    </row>
    <row r="588" spans="1:3" x14ac:dyDescent="0.25">
      <c r="A588" t="s">
        <v>309</v>
      </c>
      <c r="B588" s="1">
        <v>39.15</v>
      </c>
      <c r="C588" s="1">
        <v>84.516666666666666</v>
      </c>
    </row>
    <row r="589" spans="1:3" x14ac:dyDescent="0.25">
      <c r="A589" t="s">
        <v>656</v>
      </c>
      <c r="B589" s="1">
        <v>41.4</v>
      </c>
      <c r="C589" s="1">
        <v>81.849999999999994</v>
      </c>
    </row>
    <row r="590" spans="1:3" x14ac:dyDescent="0.25">
      <c r="A590" t="s">
        <v>238</v>
      </c>
      <c r="B590" s="1">
        <v>40</v>
      </c>
      <c r="C590" s="1">
        <v>82.88333333333334</v>
      </c>
    </row>
    <row r="591" spans="1:3" x14ac:dyDescent="0.25">
      <c r="A591" t="s">
        <v>657</v>
      </c>
      <c r="B591" s="1">
        <v>39.9</v>
      </c>
      <c r="C591" s="1">
        <v>84.216666666666669</v>
      </c>
    </row>
    <row r="592" spans="1:3" x14ac:dyDescent="0.25">
      <c r="A592" t="s">
        <v>310</v>
      </c>
      <c r="B592" s="1">
        <v>41.283333333333331</v>
      </c>
      <c r="C592" s="1">
        <v>84.38333333333334</v>
      </c>
    </row>
    <row r="593" spans="1:3" x14ac:dyDescent="0.25">
      <c r="A593" t="s">
        <v>658</v>
      </c>
      <c r="B593" s="1">
        <v>41.016666666666666</v>
      </c>
      <c r="C593" s="1">
        <v>83.666666666666671</v>
      </c>
    </row>
    <row r="594" spans="1:3" x14ac:dyDescent="0.25">
      <c r="A594" t="s">
        <v>239</v>
      </c>
      <c r="B594" s="1">
        <v>41.333333333333336</v>
      </c>
      <c r="C594" s="1">
        <v>83.11666666666666</v>
      </c>
    </row>
    <row r="595" spans="1:3" x14ac:dyDescent="0.25">
      <c r="A595" t="s">
        <v>311</v>
      </c>
      <c r="B595" s="1">
        <v>39.4</v>
      </c>
      <c r="C595" s="1">
        <v>84.583333333333329</v>
      </c>
    </row>
    <row r="596" spans="1:3" x14ac:dyDescent="0.25">
      <c r="A596" t="s">
        <v>312</v>
      </c>
      <c r="B596" s="1">
        <v>39.733333333333334</v>
      </c>
      <c r="C596" s="1">
        <v>82.63333333333334</v>
      </c>
    </row>
    <row r="597" spans="1:3" x14ac:dyDescent="0.25">
      <c r="A597" t="s">
        <v>313</v>
      </c>
      <c r="B597" s="1">
        <v>40.700000000000003</v>
      </c>
      <c r="C597" s="1">
        <v>84.033333333333331</v>
      </c>
    </row>
    <row r="598" spans="1:3" x14ac:dyDescent="0.25">
      <c r="A598" t="s">
        <v>659</v>
      </c>
      <c r="B598" s="1">
        <v>40.81666666666667</v>
      </c>
      <c r="C598" s="1">
        <v>82.516666666666666</v>
      </c>
    </row>
    <row r="599" spans="1:3" x14ac:dyDescent="0.25">
      <c r="A599" t="s">
        <v>138</v>
      </c>
      <c r="B599" s="1">
        <v>40.6</v>
      </c>
      <c r="C599" s="1">
        <v>83.166666666666671</v>
      </c>
    </row>
    <row r="600" spans="1:3" x14ac:dyDescent="0.25">
      <c r="A600" t="s">
        <v>314</v>
      </c>
      <c r="B600" s="1">
        <v>39.516666666666666</v>
      </c>
      <c r="C600" s="1">
        <v>84.416666666666671</v>
      </c>
    </row>
    <row r="601" spans="1:3" x14ac:dyDescent="0.25">
      <c r="A601" t="s">
        <v>315</v>
      </c>
      <c r="B601" s="1">
        <v>40.016666666666666</v>
      </c>
      <c r="C601" s="1">
        <v>82.466666666666669</v>
      </c>
    </row>
    <row r="602" spans="1:3" x14ac:dyDescent="0.25">
      <c r="A602" t="s">
        <v>64</v>
      </c>
      <c r="B602" s="1">
        <v>41.266666666666666</v>
      </c>
      <c r="C602" s="1">
        <v>82.61666666666666</v>
      </c>
    </row>
    <row r="603" spans="1:3" x14ac:dyDescent="0.25">
      <c r="A603" t="s">
        <v>316</v>
      </c>
      <c r="B603" s="1">
        <v>38.75</v>
      </c>
      <c r="C603" s="1">
        <v>82.916666666666671</v>
      </c>
    </row>
    <row r="604" spans="1:3" x14ac:dyDescent="0.25">
      <c r="A604" t="s">
        <v>317</v>
      </c>
      <c r="B604" s="1">
        <v>41.45</v>
      </c>
      <c r="C604" s="1">
        <v>82.716666666666669</v>
      </c>
    </row>
    <row r="605" spans="1:3" x14ac:dyDescent="0.25">
      <c r="A605" t="s">
        <v>318</v>
      </c>
      <c r="B605" s="1">
        <v>39.833333333333336</v>
      </c>
      <c r="C605" s="1">
        <v>83.833333333333329</v>
      </c>
    </row>
    <row r="606" spans="1:3" x14ac:dyDescent="0.25">
      <c r="A606" t="s">
        <v>319</v>
      </c>
      <c r="B606" s="1">
        <v>40.383333333333333</v>
      </c>
      <c r="C606" s="1">
        <v>80.63333333333334</v>
      </c>
    </row>
    <row r="607" spans="1:3" x14ac:dyDescent="0.25">
      <c r="A607" t="s">
        <v>660</v>
      </c>
      <c r="B607" s="1">
        <v>41.6</v>
      </c>
      <c r="C607" s="1">
        <v>83.8</v>
      </c>
    </row>
    <row r="608" spans="1:3" x14ac:dyDescent="0.25">
      <c r="A608" t="s">
        <v>320</v>
      </c>
      <c r="B608" s="1">
        <v>41.333333333333336</v>
      </c>
      <c r="C608" s="1">
        <v>80.849999999999994</v>
      </c>
    </row>
    <row r="609" spans="1:3" x14ac:dyDescent="0.25">
      <c r="A609" t="s">
        <v>321</v>
      </c>
      <c r="B609" s="1">
        <v>40.783333333333331</v>
      </c>
      <c r="C609" s="1">
        <v>81.916666666666671</v>
      </c>
    </row>
    <row r="610" spans="1:3" x14ac:dyDescent="0.25">
      <c r="A610" t="s">
        <v>661</v>
      </c>
      <c r="B610" s="1">
        <v>41.266666666666666</v>
      </c>
      <c r="C610" s="1">
        <v>80.666666666666671</v>
      </c>
    </row>
    <row r="611" spans="1:3" x14ac:dyDescent="0.25">
      <c r="A611" t="s">
        <v>662</v>
      </c>
      <c r="B611" s="1">
        <v>39.950000000000003</v>
      </c>
      <c r="C611" s="1">
        <v>81.900000000000006</v>
      </c>
    </row>
    <row r="613" spans="1:3" x14ac:dyDescent="0.25">
      <c r="A613" t="s">
        <v>322</v>
      </c>
      <c r="B613" t="s">
        <v>7</v>
      </c>
      <c r="C613" t="s">
        <v>8</v>
      </c>
    </row>
    <row r="614" spans="1:3" x14ac:dyDescent="0.25">
      <c r="A614" t="s">
        <v>323</v>
      </c>
      <c r="B614" s="1">
        <v>34.783333333333331</v>
      </c>
      <c r="C614" s="1">
        <v>96.683333333333337</v>
      </c>
    </row>
    <row r="615" spans="1:3" x14ac:dyDescent="0.25">
      <c r="A615" t="s">
        <v>324</v>
      </c>
      <c r="B615" s="1">
        <v>34.65</v>
      </c>
      <c r="C615" s="1">
        <v>99.266666666666666</v>
      </c>
    </row>
    <row r="616" spans="1:3" x14ac:dyDescent="0.25">
      <c r="A616" t="s">
        <v>325</v>
      </c>
      <c r="B616" s="1">
        <v>34.299999999999997</v>
      </c>
      <c r="C616" s="1">
        <v>97.016666666666666</v>
      </c>
    </row>
    <row r="617" spans="1:3" x14ac:dyDescent="0.25">
      <c r="A617" t="s">
        <v>326</v>
      </c>
      <c r="B617" s="1">
        <v>36.75</v>
      </c>
      <c r="C617" s="1">
        <v>96</v>
      </c>
    </row>
    <row r="618" spans="1:3" x14ac:dyDescent="0.25">
      <c r="A618" t="s">
        <v>327</v>
      </c>
      <c r="B618" s="1">
        <v>35.049999999999997</v>
      </c>
      <c r="C618" s="1">
        <v>97.916666666666671</v>
      </c>
    </row>
    <row r="619" spans="1:3" x14ac:dyDescent="0.25">
      <c r="A619" t="s">
        <v>328</v>
      </c>
      <c r="B619" s="1">
        <v>36.35</v>
      </c>
      <c r="C619" s="1">
        <v>97.916666666666671</v>
      </c>
    </row>
    <row r="620" spans="1:3" x14ac:dyDescent="0.25">
      <c r="A620" t="s">
        <v>663</v>
      </c>
      <c r="B620" s="1">
        <v>34.56666666666667</v>
      </c>
      <c r="C620" s="1">
        <v>98.416666666666671</v>
      </c>
    </row>
    <row r="621" spans="1:3" x14ac:dyDescent="0.25">
      <c r="A621" t="s">
        <v>329</v>
      </c>
      <c r="B621" s="1">
        <v>34.833333333333336</v>
      </c>
      <c r="C621" s="1">
        <v>95.916666666666671</v>
      </c>
    </row>
    <row r="622" spans="1:3" x14ac:dyDescent="0.25">
      <c r="A622" t="s">
        <v>664</v>
      </c>
      <c r="B622" s="1">
        <v>35.666666666666664</v>
      </c>
      <c r="C622" s="1">
        <v>95.36666666666666</v>
      </c>
    </row>
    <row r="623" spans="1:3" x14ac:dyDescent="0.25">
      <c r="A623" t="s">
        <v>330</v>
      </c>
      <c r="B623" s="1">
        <v>35.25</v>
      </c>
      <c r="C623" s="1">
        <v>97.483333333333334</v>
      </c>
    </row>
    <row r="624" spans="1:3" x14ac:dyDescent="0.25">
      <c r="A624" t="s">
        <v>665</v>
      </c>
      <c r="B624" s="1">
        <v>35.4</v>
      </c>
      <c r="C624" s="1">
        <v>97.6</v>
      </c>
    </row>
    <row r="625" spans="1:3" x14ac:dyDescent="0.25">
      <c r="A625" t="s">
        <v>331</v>
      </c>
      <c r="B625" s="1">
        <v>36.733333333333334</v>
      </c>
      <c r="C625" s="1">
        <v>97.1</v>
      </c>
    </row>
    <row r="626" spans="1:3" x14ac:dyDescent="0.25">
      <c r="A626" t="s">
        <v>332</v>
      </c>
      <c r="B626" s="1">
        <v>35.233333333333334</v>
      </c>
      <c r="C626" s="1">
        <v>96.666666666666671</v>
      </c>
    </row>
    <row r="627" spans="1:3" x14ac:dyDescent="0.25">
      <c r="A627" t="s">
        <v>666</v>
      </c>
      <c r="B627" s="1">
        <v>36.166666666666664</v>
      </c>
      <c r="C627" s="1">
        <v>97.083333333333329</v>
      </c>
    </row>
    <row r="628" spans="1:3" x14ac:dyDescent="0.25">
      <c r="A628" t="s">
        <v>667</v>
      </c>
      <c r="B628" s="1">
        <v>36.200000000000003</v>
      </c>
      <c r="C628" s="1">
        <v>95.9</v>
      </c>
    </row>
    <row r="629" spans="1:3" x14ac:dyDescent="0.25">
      <c r="A629" t="s">
        <v>333</v>
      </c>
      <c r="B629" s="1">
        <v>36.6</v>
      </c>
      <c r="C629" s="1">
        <v>99.516666666666666</v>
      </c>
    </row>
    <row r="631" spans="1:3" x14ac:dyDescent="0.25">
      <c r="A631" t="s">
        <v>334</v>
      </c>
      <c r="B631" t="s">
        <v>7</v>
      </c>
      <c r="C631" t="s">
        <v>8</v>
      </c>
    </row>
    <row r="632" spans="1:3" x14ac:dyDescent="0.25">
      <c r="A632" t="s">
        <v>335</v>
      </c>
      <c r="B632" s="1">
        <v>44.633333333333333</v>
      </c>
      <c r="C632" s="1">
        <v>123.11666666666666</v>
      </c>
    </row>
    <row r="633" spans="1:3" x14ac:dyDescent="0.25">
      <c r="A633" t="s">
        <v>668</v>
      </c>
      <c r="B633" s="1">
        <v>46.15</v>
      </c>
      <c r="C633" s="1">
        <v>123.88333333333334</v>
      </c>
    </row>
    <row r="634" spans="1:3" x14ac:dyDescent="0.25">
      <c r="A634" t="s">
        <v>669</v>
      </c>
      <c r="B634" s="1">
        <v>44.833333333333336</v>
      </c>
      <c r="C634" s="1">
        <v>117.81666666666666</v>
      </c>
    </row>
    <row r="635" spans="1:3" x14ac:dyDescent="0.25">
      <c r="A635" t="s">
        <v>336</v>
      </c>
      <c r="B635" s="1">
        <v>44.06666666666667</v>
      </c>
      <c r="C635" s="1">
        <v>121.31666666666666</v>
      </c>
    </row>
    <row r="636" spans="1:3" x14ac:dyDescent="0.25">
      <c r="A636" t="s">
        <v>670</v>
      </c>
      <c r="B636" s="1">
        <v>44.5</v>
      </c>
      <c r="C636" s="1">
        <v>123.28333333333333</v>
      </c>
    </row>
    <row r="637" spans="1:3" x14ac:dyDescent="0.25">
      <c r="A637" t="s">
        <v>671</v>
      </c>
      <c r="B637" s="1">
        <v>44.116666666666667</v>
      </c>
      <c r="C637" s="1">
        <v>123.21666666666667</v>
      </c>
    </row>
    <row r="638" spans="1:3" x14ac:dyDescent="0.25">
      <c r="A638" t="s">
        <v>337</v>
      </c>
      <c r="B638" s="1">
        <v>42.43333333333333</v>
      </c>
      <c r="C638" s="1">
        <v>123.31666666666666</v>
      </c>
    </row>
    <row r="639" spans="1:3" x14ac:dyDescent="0.25">
      <c r="A639" t="s">
        <v>672</v>
      </c>
      <c r="B639" s="1">
        <v>42.15</v>
      </c>
      <c r="C639" s="1">
        <v>121.73333333333333</v>
      </c>
    </row>
    <row r="640" spans="1:3" x14ac:dyDescent="0.25">
      <c r="A640" t="s">
        <v>673</v>
      </c>
      <c r="B640" s="1">
        <v>42.366666666666667</v>
      </c>
      <c r="C640" s="1">
        <v>122.86666666666666</v>
      </c>
    </row>
    <row r="641" spans="1:3" x14ac:dyDescent="0.25">
      <c r="A641" t="s">
        <v>674</v>
      </c>
      <c r="B641" s="1">
        <v>45.68333333333333</v>
      </c>
      <c r="C641" s="1">
        <v>118.85</v>
      </c>
    </row>
    <row r="642" spans="1:3" x14ac:dyDescent="0.25">
      <c r="A642" t="s">
        <v>567</v>
      </c>
      <c r="B642" s="1">
        <v>45.6</v>
      </c>
      <c r="C642" s="1">
        <v>122.6</v>
      </c>
    </row>
    <row r="643" spans="1:3" x14ac:dyDescent="0.25">
      <c r="A643" t="s">
        <v>338</v>
      </c>
      <c r="B643" s="1">
        <v>45.533333333333331</v>
      </c>
      <c r="C643" s="1">
        <v>122.66666666666667</v>
      </c>
    </row>
    <row r="644" spans="1:3" x14ac:dyDescent="0.25">
      <c r="A644" t="s">
        <v>675</v>
      </c>
      <c r="B644" s="1">
        <v>43.233333333333334</v>
      </c>
      <c r="C644" s="1">
        <v>123.36666666666666</v>
      </c>
    </row>
    <row r="645" spans="1:3" x14ac:dyDescent="0.25">
      <c r="A645" t="s">
        <v>676</v>
      </c>
      <c r="B645" s="1">
        <v>44.916666666666664</v>
      </c>
      <c r="C645" s="1">
        <v>123.01666666666667</v>
      </c>
    </row>
    <row r="646" spans="1:3" x14ac:dyDescent="0.25">
      <c r="A646" t="s">
        <v>339</v>
      </c>
      <c r="B646" s="1">
        <v>45.6</v>
      </c>
      <c r="C646" s="1">
        <v>121.2</v>
      </c>
    </row>
    <row r="648" spans="1:3" x14ac:dyDescent="0.25">
      <c r="A648" t="s">
        <v>340</v>
      </c>
      <c r="B648" t="s">
        <v>7</v>
      </c>
      <c r="C648" t="s">
        <v>8</v>
      </c>
    </row>
    <row r="649" spans="1:3" x14ac:dyDescent="0.25">
      <c r="A649" t="s">
        <v>677</v>
      </c>
      <c r="B649" s="1">
        <v>40.65</v>
      </c>
      <c r="C649" s="1">
        <v>75.433333333333337</v>
      </c>
    </row>
    <row r="650" spans="1:3" x14ac:dyDescent="0.25">
      <c r="A650" t="s">
        <v>341</v>
      </c>
      <c r="B650" s="1">
        <v>40.299999999999997</v>
      </c>
      <c r="C650" s="1">
        <v>78.316666666666663</v>
      </c>
    </row>
    <row r="651" spans="1:3" x14ac:dyDescent="0.25">
      <c r="A651" t="s">
        <v>342</v>
      </c>
      <c r="B651" s="1">
        <v>40.866666666666667</v>
      </c>
      <c r="C651" s="1">
        <v>79.900000000000006</v>
      </c>
    </row>
    <row r="652" spans="1:3" x14ac:dyDescent="0.25">
      <c r="A652" t="s">
        <v>343</v>
      </c>
      <c r="B652" s="1">
        <v>39.93333333333333</v>
      </c>
      <c r="C652" s="1">
        <v>77.63333333333334</v>
      </c>
    </row>
    <row r="653" spans="1:3" x14ac:dyDescent="0.25">
      <c r="A653" t="s">
        <v>678</v>
      </c>
      <c r="B653" s="1">
        <v>42.083333333333336</v>
      </c>
      <c r="C653" s="1">
        <v>80.183333333333337</v>
      </c>
    </row>
    <row r="654" spans="1:3" x14ac:dyDescent="0.25">
      <c r="A654" t="s">
        <v>679</v>
      </c>
      <c r="B654" s="1">
        <v>40.200000000000003</v>
      </c>
      <c r="C654" s="1">
        <v>76.766666666666666</v>
      </c>
    </row>
    <row r="655" spans="1:3" x14ac:dyDescent="0.25">
      <c r="A655" t="s">
        <v>344</v>
      </c>
      <c r="B655" s="1">
        <v>40.31666666666667</v>
      </c>
      <c r="C655" s="1">
        <v>78.833333333333329</v>
      </c>
    </row>
    <row r="656" spans="1:3" x14ac:dyDescent="0.25">
      <c r="A656" t="s">
        <v>312</v>
      </c>
      <c r="B656" s="1">
        <v>40.116666666666667</v>
      </c>
      <c r="C656" s="1">
        <v>76.3</v>
      </c>
    </row>
    <row r="657" spans="1:3" x14ac:dyDescent="0.25">
      <c r="A657" t="s">
        <v>345</v>
      </c>
      <c r="B657" s="1">
        <v>41.633333333333333</v>
      </c>
      <c r="C657" s="1">
        <v>80.166666666666671</v>
      </c>
    </row>
    <row r="658" spans="1:3" x14ac:dyDescent="0.25">
      <c r="A658" t="s">
        <v>346</v>
      </c>
      <c r="B658" s="1">
        <v>41.016666666666666</v>
      </c>
      <c r="C658" s="1">
        <v>80.36666666666666</v>
      </c>
    </row>
    <row r="659" spans="1:3" x14ac:dyDescent="0.25">
      <c r="A659" t="s">
        <v>680</v>
      </c>
      <c r="B659" s="1">
        <v>39.883333333333333</v>
      </c>
      <c r="C659" s="1">
        <v>75.25</v>
      </c>
    </row>
    <row r="660" spans="1:3" x14ac:dyDescent="0.25">
      <c r="A660" t="s">
        <v>681</v>
      </c>
      <c r="B660" s="1">
        <v>40.5</v>
      </c>
      <c r="C660" s="1">
        <v>80.216666666666669</v>
      </c>
    </row>
    <row r="661" spans="1:3" x14ac:dyDescent="0.25">
      <c r="A661" t="s">
        <v>347</v>
      </c>
      <c r="B661" s="1">
        <v>40.450000000000003</v>
      </c>
      <c r="C661" s="1">
        <v>80</v>
      </c>
    </row>
    <row r="662" spans="1:3" x14ac:dyDescent="0.25">
      <c r="A662" t="s">
        <v>348</v>
      </c>
      <c r="B662" s="1">
        <v>40.333333333333336</v>
      </c>
      <c r="C662" s="1">
        <v>75.63333333333334</v>
      </c>
    </row>
    <row r="663" spans="1:3" x14ac:dyDescent="0.25">
      <c r="A663" t="s">
        <v>349</v>
      </c>
      <c r="B663" s="1">
        <v>41.333333333333336</v>
      </c>
      <c r="C663" s="1">
        <v>75.733333333333334</v>
      </c>
    </row>
    <row r="664" spans="1:3" x14ac:dyDescent="0.25">
      <c r="A664" t="s">
        <v>682</v>
      </c>
      <c r="B664" s="1">
        <v>40.799999999999997</v>
      </c>
      <c r="C664" s="1">
        <v>77.86666666666666</v>
      </c>
    </row>
    <row r="665" spans="1:3" x14ac:dyDescent="0.25">
      <c r="A665" t="s">
        <v>350</v>
      </c>
      <c r="B665" s="1">
        <v>40.883333333333333</v>
      </c>
      <c r="C665" s="1">
        <v>76.766666666666666</v>
      </c>
    </row>
    <row r="666" spans="1:3" x14ac:dyDescent="0.25">
      <c r="A666" t="s">
        <v>351</v>
      </c>
      <c r="B666" s="1">
        <v>39.916666666666664</v>
      </c>
      <c r="C666" s="1">
        <v>79.716666666666669</v>
      </c>
    </row>
    <row r="667" spans="1:3" x14ac:dyDescent="0.25">
      <c r="A667" t="s">
        <v>320</v>
      </c>
      <c r="B667" s="1">
        <v>41.85</v>
      </c>
      <c r="C667" s="1">
        <v>79.13333333333334</v>
      </c>
    </row>
    <row r="668" spans="1:3" x14ac:dyDescent="0.25">
      <c r="A668" t="s">
        <v>352</v>
      </c>
      <c r="B668" s="1">
        <v>39.966666666666669</v>
      </c>
      <c r="C668" s="1">
        <v>75.63333333333334</v>
      </c>
    </row>
    <row r="669" spans="1:3" x14ac:dyDescent="0.25">
      <c r="A669" t="s">
        <v>683</v>
      </c>
      <c r="B669" s="1">
        <v>41.25</v>
      </c>
      <c r="C669" s="1">
        <v>76.916666666666671</v>
      </c>
    </row>
    <row r="670" spans="1:3" x14ac:dyDescent="0.25">
      <c r="A670" t="s">
        <v>353</v>
      </c>
      <c r="B670" s="1">
        <v>39.916666666666664</v>
      </c>
      <c r="C670" s="1">
        <v>76.75</v>
      </c>
    </row>
    <row r="672" spans="1:3" x14ac:dyDescent="0.25">
      <c r="A672" t="s">
        <v>354</v>
      </c>
      <c r="B672" t="s">
        <v>7</v>
      </c>
      <c r="C672" t="s">
        <v>8</v>
      </c>
    </row>
    <row r="673" spans="1:3" x14ac:dyDescent="0.25">
      <c r="A673" t="s">
        <v>684</v>
      </c>
      <c r="B673" s="1">
        <v>41.5</v>
      </c>
      <c r="C673" s="1">
        <v>71.333333333333329</v>
      </c>
    </row>
    <row r="674" spans="1:3" x14ac:dyDescent="0.25">
      <c r="A674" t="s">
        <v>685</v>
      </c>
      <c r="B674" s="1">
        <v>41.733333333333334</v>
      </c>
      <c r="C674" s="1">
        <v>71.433333333333337</v>
      </c>
    </row>
    <row r="676" spans="1:3" x14ac:dyDescent="0.25">
      <c r="A676" t="s">
        <v>766</v>
      </c>
      <c r="B676" t="s">
        <v>7</v>
      </c>
      <c r="C676" t="s">
        <v>8</v>
      </c>
    </row>
    <row r="677" spans="1:3" x14ac:dyDescent="0.25">
      <c r="A677" t="s">
        <v>128</v>
      </c>
      <c r="B677" s="1">
        <v>34.5</v>
      </c>
      <c r="C677" s="1">
        <v>82.716666666666669</v>
      </c>
    </row>
    <row r="678" spans="1:3" x14ac:dyDescent="0.25">
      <c r="A678" t="s">
        <v>686</v>
      </c>
      <c r="B678" s="1">
        <v>32.9</v>
      </c>
      <c r="C678" s="1">
        <v>80.033333333333331</v>
      </c>
    </row>
    <row r="679" spans="1:3" x14ac:dyDescent="0.25">
      <c r="A679" t="s">
        <v>355</v>
      </c>
      <c r="B679" s="1">
        <v>32.9</v>
      </c>
      <c r="C679" s="1">
        <v>79.966666666666669</v>
      </c>
    </row>
    <row r="680" spans="1:3" x14ac:dyDescent="0.25">
      <c r="A680" t="s">
        <v>366</v>
      </c>
      <c r="B680" s="1">
        <v>33.950000000000003</v>
      </c>
      <c r="C680" s="1">
        <v>81.11666666666666</v>
      </c>
    </row>
    <row r="681" spans="1:3" x14ac:dyDescent="0.25">
      <c r="A681" t="s">
        <v>454</v>
      </c>
      <c r="B681" s="1">
        <v>34.18333333333333</v>
      </c>
      <c r="C681" s="1">
        <v>79.716666666666669</v>
      </c>
    </row>
    <row r="682" spans="1:3" x14ac:dyDescent="0.25">
      <c r="A682" t="s">
        <v>356</v>
      </c>
      <c r="B682" s="1">
        <v>33.383333333333333</v>
      </c>
      <c r="C682" s="1">
        <v>79.283333333333331</v>
      </c>
    </row>
    <row r="683" spans="1:3" x14ac:dyDescent="0.25">
      <c r="A683" t="s">
        <v>118</v>
      </c>
      <c r="B683" s="1">
        <v>34.9</v>
      </c>
      <c r="C683" s="1">
        <v>82.216666666666669</v>
      </c>
    </row>
    <row r="684" spans="1:3" x14ac:dyDescent="0.25">
      <c r="A684" t="s">
        <v>215</v>
      </c>
      <c r="B684" s="1">
        <v>34.166666666666664</v>
      </c>
      <c r="C684" s="1">
        <v>82.11666666666666</v>
      </c>
    </row>
    <row r="685" spans="1:3" x14ac:dyDescent="0.25">
      <c r="A685" t="s">
        <v>357</v>
      </c>
      <c r="B685" s="1">
        <v>33.5</v>
      </c>
      <c r="C685" s="1">
        <v>80.86666666666666</v>
      </c>
    </row>
    <row r="686" spans="1:3" x14ac:dyDescent="0.25">
      <c r="A686" t="s">
        <v>358</v>
      </c>
      <c r="B686" s="1">
        <v>34.983333333333334</v>
      </c>
      <c r="C686" s="1">
        <v>80.966666666666669</v>
      </c>
    </row>
    <row r="687" spans="1:3" x14ac:dyDescent="0.25">
      <c r="A687" t="s">
        <v>687</v>
      </c>
      <c r="B687" s="1">
        <v>34.966666666666669</v>
      </c>
      <c r="C687" s="1">
        <v>82</v>
      </c>
    </row>
    <row r="688" spans="1:3" x14ac:dyDescent="0.25">
      <c r="A688" t="s">
        <v>359</v>
      </c>
      <c r="B688" s="1">
        <v>33.9</v>
      </c>
      <c r="C688" s="1">
        <v>80.36666666666666</v>
      </c>
    </row>
    <row r="690" spans="1:3" x14ac:dyDescent="0.25">
      <c r="A690" t="s">
        <v>360</v>
      </c>
      <c r="B690" t="s">
        <v>7</v>
      </c>
      <c r="C690" t="s">
        <v>8</v>
      </c>
    </row>
    <row r="691" spans="1:3" x14ac:dyDescent="0.25">
      <c r="A691" t="s">
        <v>414</v>
      </c>
      <c r="B691" s="1">
        <v>45.45</v>
      </c>
      <c r="C691" s="1">
        <v>98.433333333333337</v>
      </c>
    </row>
    <row r="692" spans="1:3" x14ac:dyDescent="0.25">
      <c r="A692" t="s">
        <v>361</v>
      </c>
      <c r="B692" s="1">
        <v>44.3</v>
      </c>
      <c r="C692" s="1">
        <v>96.8</v>
      </c>
    </row>
    <row r="693" spans="1:3" x14ac:dyDescent="0.25">
      <c r="A693" t="s">
        <v>688</v>
      </c>
      <c r="B693" s="1">
        <v>44.383333333333333</v>
      </c>
      <c r="C693" s="1">
        <v>98.216666666666669</v>
      </c>
    </row>
    <row r="694" spans="1:3" x14ac:dyDescent="0.25">
      <c r="A694" t="s">
        <v>362</v>
      </c>
      <c r="B694" s="1">
        <v>43.68333333333333</v>
      </c>
      <c r="C694" s="1">
        <v>98.016666666666666</v>
      </c>
    </row>
    <row r="695" spans="1:3" x14ac:dyDescent="0.25">
      <c r="A695" t="s">
        <v>689</v>
      </c>
      <c r="B695" s="1">
        <v>44.383333333333333</v>
      </c>
      <c r="C695" s="1">
        <v>100.28333333333333</v>
      </c>
    </row>
    <row r="696" spans="1:3" x14ac:dyDescent="0.25">
      <c r="A696" t="s">
        <v>690</v>
      </c>
      <c r="B696" s="1">
        <v>44.05</v>
      </c>
      <c r="C696" s="1">
        <v>103.06666666666666</v>
      </c>
    </row>
    <row r="697" spans="1:3" x14ac:dyDescent="0.25">
      <c r="A697" t="s">
        <v>691</v>
      </c>
      <c r="B697" s="1">
        <v>43.56666666666667</v>
      </c>
      <c r="C697" s="1">
        <v>96.733333333333334</v>
      </c>
    </row>
    <row r="698" spans="1:3" x14ac:dyDescent="0.25">
      <c r="A698" t="s">
        <v>291</v>
      </c>
      <c r="B698" s="1">
        <v>44.916666666666664</v>
      </c>
      <c r="C698" s="1">
        <v>97.15</v>
      </c>
    </row>
    <row r="699" spans="1:3" x14ac:dyDescent="0.25">
      <c r="A699" t="s">
        <v>363</v>
      </c>
      <c r="B699" s="1">
        <v>42.916666666666664</v>
      </c>
      <c r="C699" s="1">
        <v>97.38333333333334</v>
      </c>
    </row>
    <row r="701" spans="1:3" x14ac:dyDescent="0.25">
      <c r="A701" t="s">
        <v>364</v>
      </c>
      <c r="B701" t="s">
        <v>7</v>
      </c>
      <c r="C701" t="s">
        <v>8</v>
      </c>
    </row>
    <row r="702" spans="1:3" x14ac:dyDescent="0.25">
      <c r="A702" t="s">
        <v>87</v>
      </c>
      <c r="B702" s="1">
        <v>35.43333333333333</v>
      </c>
      <c r="C702" s="1">
        <v>84.583333333333329</v>
      </c>
    </row>
    <row r="703" spans="1:3" x14ac:dyDescent="0.25">
      <c r="A703" t="s">
        <v>692</v>
      </c>
      <c r="B703" s="1">
        <v>36.483333333333334</v>
      </c>
      <c r="C703" s="1">
        <v>82.4</v>
      </c>
    </row>
    <row r="704" spans="1:3" x14ac:dyDescent="0.25">
      <c r="A704" t="s">
        <v>693</v>
      </c>
      <c r="B704" s="1">
        <v>35.033333333333331</v>
      </c>
      <c r="C704" s="1">
        <v>85.2</v>
      </c>
    </row>
    <row r="705" spans="1:3" x14ac:dyDescent="0.25">
      <c r="A705" t="s">
        <v>365</v>
      </c>
      <c r="B705" s="1">
        <v>36.549999999999997</v>
      </c>
      <c r="C705" s="1">
        <v>87.36666666666666</v>
      </c>
    </row>
    <row r="706" spans="1:3" x14ac:dyDescent="0.25">
      <c r="A706" t="s">
        <v>366</v>
      </c>
      <c r="B706" s="1">
        <v>35.633333333333333</v>
      </c>
      <c r="C706" s="1">
        <v>87.033333333333331</v>
      </c>
    </row>
    <row r="707" spans="1:3" x14ac:dyDescent="0.25">
      <c r="A707" t="s">
        <v>367</v>
      </c>
      <c r="B707" s="1">
        <v>36.016666666666666</v>
      </c>
      <c r="C707" s="1">
        <v>89.4</v>
      </c>
    </row>
    <row r="708" spans="1:3" x14ac:dyDescent="0.25">
      <c r="A708" t="s">
        <v>118</v>
      </c>
      <c r="B708" s="1">
        <v>36.06666666666667</v>
      </c>
      <c r="C708" s="1">
        <v>82.833333333333329</v>
      </c>
    </row>
    <row r="709" spans="1:3" x14ac:dyDescent="0.25">
      <c r="A709" t="s">
        <v>579</v>
      </c>
      <c r="B709" s="1">
        <v>35.6</v>
      </c>
      <c r="C709" s="1">
        <v>88.916666666666671</v>
      </c>
    </row>
    <row r="710" spans="1:3" x14ac:dyDescent="0.25">
      <c r="A710" t="s">
        <v>694</v>
      </c>
      <c r="B710" s="1">
        <v>35.81666666666667</v>
      </c>
      <c r="C710" s="1">
        <v>83.983333333333334</v>
      </c>
    </row>
    <row r="711" spans="1:3" x14ac:dyDescent="0.25">
      <c r="A711" t="s">
        <v>695</v>
      </c>
      <c r="B711" s="1">
        <v>35.049999999999997</v>
      </c>
      <c r="C711" s="1">
        <v>90</v>
      </c>
    </row>
    <row r="712" spans="1:3" x14ac:dyDescent="0.25">
      <c r="A712" t="s">
        <v>368</v>
      </c>
      <c r="B712" s="1">
        <v>34.916666666666664</v>
      </c>
      <c r="C712" s="1">
        <v>86.466666666666669</v>
      </c>
    </row>
    <row r="713" spans="1:3" x14ac:dyDescent="0.25">
      <c r="A713" t="s">
        <v>696</v>
      </c>
      <c r="B713" s="1">
        <v>36.116666666666667</v>
      </c>
      <c r="C713" s="1">
        <v>86.683333333333337</v>
      </c>
    </row>
    <row r="714" spans="1:3" x14ac:dyDescent="0.25">
      <c r="A714" t="s">
        <v>369</v>
      </c>
      <c r="B714" s="1">
        <v>35.383333333333333</v>
      </c>
      <c r="C714" s="1">
        <v>86.083333333333329</v>
      </c>
    </row>
    <row r="716" spans="1:3" x14ac:dyDescent="0.25">
      <c r="A716" t="s">
        <v>370</v>
      </c>
      <c r="B716" t="s">
        <v>7</v>
      </c>
      <c r="C716" t="s">
        <v>8</v>
      </c>
    </row>
    <row r="717" spans="1:3" x14ac:dyDescent="0.25">
      <c r="A717" t="s">
        <v>697</v>
      </c>
      <c r="B717" s="1">
        <v>32.416666666666664</v>
      </c>
      <c r="C717" s="1">
        <v>99.683333333333337</v>
      </c>
    </row>
    <row r="718" spans="1:3" x14ac:dyDescent="0.25">
      <c r="A718" t="s">
        <v>698</v>
      </c>
      <c r="B718" s="1">
        <v>27.733333333333334</v>
      </c>
      <c r="C718" s="1">
        <v>98.033333333333331</v>
      </c>
    </row>
    <row r="719" spans="1:3" x14ac:dyDescent="0.25">
      <c r="A719" t="s">
        <v>699</v>
      </c>
      <c r="B719" s="1">
        <v>35.233333333333334</v>
      </c>
      <c r="C719" s="1">
        <v>100.7</v>
      </c>
    </row>
    <row r="720" spans="1:3" x14ac:dyDescent="0.25">
      <c r="A720" t="s">
        <v>700</v>
      </c>
      <c r="B720" s="1">
        <v>30.3</v>
      </c>
      <c r="C720" s="1">
        <v>97.7</v>
      </c>
    </row>
    <row r="721" spans="1:3" x14ac:dyDescent="0.25">
      <c r="A721" t="s">
        <v>371</v>
      </c>
      <c r="B721" s="1">
        <v>29</v>
      </c>
      <c r="C721" s="1">
        <v>95.966666666666669</v>
      </c>
    </row>
    <row r="722" spans="1:3" x14ac:dyDescent="0.25">
      <c r="A722" t="s">
        <v>372</v>
      </c>
      <c r="B722" s="1">
        <v>29.95</v>
      </c>
      <c r="C722" s="1">
        <v>94.016666666666666</v>
      </c>
    </row>
    <row r="723" spans="1:3" x14ac:dyDescent="0.25">
      <c r="A723" t="s">
        <v>373</v>
      </c>
      <c r="B723" s="1">
        <v>28.366666666666667</v>
      </c>
      <c r="C723" s="1">
        <v>97.666666666666671</v>
      </c>
    </row>
    <row r="724" spans="1:3" x14ac:dyDescent="0.25">
      <c r="A724" t="s">
        <v>701</v>
      </c>
      <c r="B724" s="1">
        <v>32.299999999999997</v>
      </c>
      <c r="C724" s="1">
        <v>101.45</v>
      </c>
    </row>
    <row r="725" spans="1:3" x14ac:dyDescent="0.25">
      <c r="A725" t="s">
        <v>702</v>
      </c>
      <c r="B725" s="1">
        <v>25.9</v>
      </c>
      <c r="C725" s="1">
        <v>97.433333333333337</v>
      </c>
    </row>
    <row r="726" spans="1:3" x14ac:dyDescent="0.25">
      <c r="A726" t="s">
        <v>374</v>
      </c>
      <c r="B726" s="1">
        <v>31.8</v>
      </c>
      <c r="C726" s="1">
        <v>98.95</v>
      </c>
    </row>
    <row r="727" spans="1:3" x14ac:dyDescent="0.25">
      <c r="A727" t="s">
        <v>703</v>
      </c>
      <c r="B727" s="1">
        <v>30.666666666666668</v>
      </c>
      <c r="C727" s="1">
        <v>96.55</v>
      </c>
    </row>
    <row r="728" spans="1:3" x14ac:dyDescent="0.25">
      <c r="A728" t="s">
        <v>704</v>
      </c>
      <c r="B728" s="1">
        <v>27.766666666666666</v>
      </c>
      <c r="C728" s="1">
        <v>97.5</v>
      </c>
    </row>
    <row r="729" spans="1:3" x14ac:dyDescent="0.25">
      <c r="A729" t="s">
        <v>375</v>
      </c>
      <c r="B729" s="1">
        <v>32.083333333333336</v>
      </c>
      <c r="C729" s="1">
        <v>96.466666666666669</v>
      </c>
    </row>
    <row r="730" spans="1:3" x14ac:dyDescent="0.25">
      <c r="A730" t="s">
        <v>705</v>
      </c>
      <c r="B730" s="1">
        <v>32.85</v>
      </c>
      <c r="C730" s="1">
        <v>96.85</v>
      </c>
    </row>
    <row r="731" spans="1:3" x14ac:dyDescent="0.25">
      <c r="A731" t="s">
        <v>376</v>
      </c>
      <c r="B731" s="1">
        <v>29.366666666666667</v>
      </c>
      <c r="C731" s="1">
        <v>100.78333333333333</v>
      </c>
    </row>
    <row r="732" spans="1:3" x14ac:dyDescent="0.25">
      <c r="A732" t="s">
        <v>377</v>
      </c>
      <c r="B732" s="1">
        <v>33.200000000000003</v>
      </c>
      <c r="C732" s="1">
        <v>97.1</v>
      </c>
    </row>
    <row r="733" spans="1:3" x14ac:dyDescent="0.25">
      <c r="A733" t="s">
        <v>378</v>
      </c>
      <c r="B733" s="1">
        <v>28.866666666666667</v>
      </c>
      <c r="C733" s="1">
        <v>100.53333333333333</v>
      </c>
    </row>
    <row r="734" spans="1:3" x14ac:dyDescent="0.25">
      <c r="A734" t="s">
        <v>706</v>
      </c>
      <c r="B734" s="1">
        <v>31.8</v>
      </c>
      <c r="C734" s="1">
        <v>106.4</v>
      </c>
    </row>
    <row r="735" spans="1:3" x14ac:dyDescent="0.25">
      <c r="A735" t="s">
        <v>707</v>
      </c>
      <c r="B735" s="1">
        <v>32.833333333333336</v>
      </c>
      <c r="C735" s="1">
        <v>97.05</v>
      </c>
    </row>
    <row r="736" spans="1:3" x14ac:dyDescent="0.25">
      <c r="A736" t="s">
        <v>708</v>
      </c>
      <c r="B736" s="1">
        <v>29.3</v>
      </c>
      <c r="C736" s="1">
        <v>94.8</v>
      </c>
    </row>
    <row r="737" spans="1:3" x14ac:dyDescent="0.25">
      <c r="A737" t="s">
        <v>118</v>
      </c>
      <c r="B737" s="1">
        <v>33.06666666666667</v>
      </c>
      <c r="C737" s="1">
        <v>96.05</v>
      </c>
    </row>
    <row r="738" spans="1:3" x14ac:dyDescent="0.25">
      <c r="A738" t="s">
        <v>379</v>
      </c>
      <c r="B738" s="1">
        <v>26.233333333333334</v>
      </c>
      <c r="C738" s="1">
        <v>97.65</v>
      </c>
    </row>
    <row r="739" spans="1:3" x14ac:dyDescent="0.25">
      <c r="A739" t="s">
        <v>709</v>
      </c>
      <c r="B739" s="1">
        <v>29.966666666666665</v>
      </c>
      <c r="C739" s="1">
        <v>95.35</v>
      </c>
    </row>
    <row r="740" spans="1:3" x14ac:dyDescent="0.25">
      <c r="A740" t="s">
        <v>380</v>
      </c>
      <c r="B740" s="1">
        <v>29.983333333333334</v>
      </c>
      <c r="C740" s="1">
        <v>95.36666666666666</v>
      </c>
    </row>
    <row r="741" spans="1:3" x14ac:dyDescent="0.25">
      <c r="A741" t="s">
        <v>381</v>
      </c>
      <c r="B741" s="1">
        <v>30.716666666666665</v>
      </c>
      <c r="C741" s="1">
        <v>95.55</v>
      </c>
    </row>
    <row r="742" spans="1:3" x14ac:dyDescent="0.25">
      <c r="A742" t="s">
        <v>382</v>
      </c>
      <c r="B742" s="1">
        <v>31.083333333333332</v>
      </c>
      <c r="C742" s="1">
        <v>97.683333333333337</v>
      </c>
    </row>
    <row r="743" spans="1:3" x14ac:dyDescent="0.25">
      <c r="A743" t="s">
        <v>383</v>
      </c>
      <c r="B743" s="1">
        <v>32.700000000000003</v>
      </c>
      <c r="C743" s="1">
        <v>101.93333333333334</v>
      </c>
    </row>
    <row r="744" spans="1:3" x14ac:dyDescent="0.25">
      <c r="A744" t="s">
        <v>384</v>
      </c>
      <c r="B744" s="1">
        <v>27.533333333333335</v>
      </c>
      <c r="C744" s="1">
        <v>99.45</v>
      </c>
    </row>
    <row r="745" spans="1:3" x14ac:dyDescent="0.25">
      <c r="A745" t="s">
        <v>385</v>
      </c>
      <c r="B745" s="1">
        <v>32.466666666666669</v>
      </c>
      <c r="C745" s="1">
        <v>94.733333333333334</v>
      </c>
    </row>
    <row r="746" spans="1:3" x14ac:dyDescent="0.25">
      <c r="A746" t="s">
        <v>710</v>
      </c>
      <c r="B746" s="1">
        <v>33.65</v>
      </c>
      <c r="C746" s="1">
        <v>101.81666666666666</v>
      </c>
    </row>
    <row r="747" spans="1:3" x14ac:dyDescent="0.25">
      <c r="A747" t="s">
        <v>711</v>
      </c>
      <c r="B747" s="1">
        <v>31.416666666666668</v>
      </c>
      <c r="C747" s="1">
        <v>94.8</v>
      </c>
    </row>
    <row r="748" spans="1:3" x14ac:dyDescent="0.25">
      <c r="A748" t="s">
        <v>386</v>
      </c>
      <c r="B748" s="1">
        <v>26.2</v>
      </c>
      <c r="C748" s="1">
        <v>98.216666666666669</v>
      </c>
    </row>
    <row r="749" spans="1:3" x14ac:dyDescent="0.25">
      <c r="A749" t="s">
        <v>712</v>
      </c>
      <c r="B749" s="1">
        <v>31.95</v>
      </c>
      <c r="C749" s="1">
        <v>102.18333333333334</v>
      </c>
    </row>
    <row r="750" spans="1:3" x14ac:dyDescent="0.25">
      <c r="A750" t="s">
        <v>713</v>
      </c>
      <c r="B750" s="1">
        <v>32.783333333333331</v>
      </c>
      <c r="C750" s="1">
        <v>98.066666666666663</v>
      </c>
    </row>
    <row r="751" spans="1:3" x14ac:dyDescent="0.25">
      <c r="A751" t="s">
        <v>387</v>
      </c>
      <c r="B751" s="1">
        <v>31.783333333333335</v>
      </c>
      <c r="C751" s="1">
        <v>95.63333333333334</v>
      </c>
    </row>
    <row r="752" spans="1:3" x14ac:dyDescent="0.25">
      <c r="A752" t="s">
        <v>388</v>
      </c>
      <c r="B752" s="1">
        <v>35.533333333333331</v>
      </c>
      <c r="C752" s="1">
        <v>100.98333333333333</v>
      </c>
    </row>
    <row r="753" spans="1:3" x14ac:dyDescent="0.25">
      <c r="A753" t="s">
        <v>389</v>
      </c>
      <c r="B753" s="1">
        <v>31.416666666666668</v>
      </c>
      <c r="C753" s="1">
        <v>103.5</v>
      </c>
    </row>
    <row r="754" spans="1:3" x14ac:dyDescent="0.25">
      <c r="A754" t="s">
        <v>390</v>
      </c>
      <c r="B754" s="1">
        <v>34.18333333333333</v>
      </c>
      <c r="C754" s="1">
        <v>101.7</v>
      </c>
    </row>
    <row r="755" spans="1:3" x14ac:dyDescent="0.25">
      <c r="A755" t="s">
        <v>714</v>
      </c>
      <c r="B755" s="1">
        <v>29.95</v>
      </c>
      <c r="C755" s="1">
        <v>94.016666666666666</v>
      </c>
    </row>
    <row r="756" spans="1:3" x14ac:dyDescent="0.25">
      <c r="A756" t="s">
        <v>391</v>
      </c>
      <c r="B756" s="1">
        <v>31.433333333333334</v>
      </c>
      <c r="C756" s="1">
        <v>100.4</v>
      </c>
    </row>
    <row r="757" spans="1:3" x14ac:dyDescent="0.25">
      <c r="A757" t="s">
        <v>715</v>
      </c>
      <c r="B757" s="1">
        <v>29.533333333333335</v>
      </c>
      <c r="C757" s="1">
        <v>98.466666666666669</v>
      </c>
    </row>
    <row r="758" spans="1:3" x14ac:dyDescent="0.25">
      <c r="A758" t="s">
        <v>392</v>
      </c>
      <c r="B758" s="1">
        <v>33.716666666666669</v>
      </c>
      <c r="C758" s="1">
        <v>96.666666666666671</v>
      </c>
    </row>
    <row r="759" spans="1:3" x14ac:dyDescent="0.25">
      <c r="A759" t="s">
        <v>393</v>
      </c>
      <c r="B759" s="1">
        <v>32.716666666666669</v>
      </c>
      <c r="C759" s="1">
        <v>100.91666666666667</v>
      </c>
    </row>
    <row r="760" spans="1:3" x14ac:dyDescent="0.25">
      <c r="A760" t="s">
        <v>394</v>
      </c>
      <c r="B760" s="1">
        <v>31.1</v>
      </c>
      <c r="C760" s="1">
        <v>97.35</v>
      </c>
    </row>
    <row r="761" spans="1:3" x14ac:dyDescent="0.25">
      <c r="A761" t="s">
        <v>716</v>
      </c>
      <c r="B761" s="1">
        <v>32.35</v>
      </c>
      <c r="C761" s="1">
        <v>95.266666666666666</v>
      </c>
    </row>
    <row r="762" spans="1:3" x14ac:dyDescent="0.25">
      <c r="A762" t="s">
        <v>395</v>
      </c>
      <c r="B762" s="1">
        <v>34.166666666666664</v>
      </c>
      <c r="C762" s="1">
        <v>99.3</v>
      </c>
    </row>
    <row r="763" spans="1:3" x14ac:dyDescent="0.25">
      <c r="A763" t="s">
        <v>717</v>
      </c>
      <c r="B763" s="1">
        <v>28.85</v>
      </c>
      <c r="C763" s="1">
        <v>96.916666666666671</v>
      </c>
    </row>
    <row r="764" spans="1:3" x14ac:dyDescent="0.25">
      <c r="A764" t="s">
        <v>718</v>
      </c>
      <c r="B764" s="1">
        <v>31.616666666666667</v>
      </c>
      <c r="C764" s="1">
        <v>97.216666666666669</v>
      </c>
    </row>
    <row r="765" spans="1:3" x14ac:dyDescent="0.25">
      <c r="A765" t="s">
        <v>719</v>
      </c>
      <c r="B765" s="1">
        <v>33.966666666666669</v>
      </c>
      <c r="C765" s="1">
        <v>98.483333333333334</v>
      </c>
    </row>
    <row r="767" spans="1:3" x14ac:dyDescent="0.25">
      <c r="A767" t="s">
        <v>396</v>
      </c>
      <c r="B767" t="s">
        <v>7</v>
      </c>
      <c r="C767" t="s">
        <v>8</v>
      </c>
    </row>
    <row r="768" spans="1:3" x14ac:dyDescent="0.25">
      <c r="A768" t="s">
        <v>720</v>
      </c>
      <c r="B768" s="1">
        <v>37.700000000000003</v>
      </c>
      <c r="C768" s="1">
        <v>113.1</v>
      </c>
    </row>
    <row r="769" spans="1:3" x14ac:dyDescent="0.25">
      <c r="A769" t="s">
        <v>397</v>
      </c>
      <c r="B769" s="1">
        <v>41.75</v>
      </c>
      <c r="C769" s="1">
        <v>111.81666666666666</v>
      </c>
    </row>
    <row r="770" spans="1:3" x14ac:dyDescent="0.25">
      <c r="A770" t="s">
        <v>398</v>
      </c>
      <c r="B770" s="1">
        <v>38.6</v>
      </c>
      <c r="C770" s="1">
        <v>109.6</v>
      </c>
    </row>
    <row r="771" spans="1:3" x14ac:dyDescent="0.25">
      <c r="A771" t="s">
        <v>721</v>
      </c>
      <c r="B771" s="1">
        <v>41.2</v>
      </c>
      <c r="C771" s="1">
        <v>112.01666666666667</v>
      </c>
    </row>
    <row r="772" spans="1:3" x14ac:dyDescent="0.25">
      <c r="A772" t="s">
        <v>399</v>
      </c>
      <c r="B772" s="1">
        <v>39.616666666666667</v>
      </c>
      <c r="C772" s="1">
        <v>110.83333333333333</v>
      </c>
    </row>
    <row r="773" spans="1:3" x14ac:dyDescent="0.25">
      <c r="A773" t="s">
        <v>400</v>
      </c>
      <c r="B773" s="1">
        <v>40.216666666666669</v>
      </c>
      <c r="C773" s="1">
        <v>111.71666666666667</v>
      </c>
    </row>
    <row r="774" spans="1:3" x14ac:dyDescent="0.25">
      <c r="A774" t="s">
        <v>401</v>
      </c>
      <c r="B774" s="1">
        <v>38.766666666666666</v>
      </c>
      <c r="C774" s="1">
        <v>112.08333333333333</v>
      </c>
    </row>
    <row r="775" spans="1:3" x14ac:dyDescent="0.25">
      <c r="A775" t="s">
        <v>402</v>
      </c>
      <c r="B775" s="1">
        <v>37.033333333333331</v>
      </c>
      <c r="C775" s="1">
        <v>113.51666666666667</v>
      </c>
    </row>
    <row r="776" spans="1:3" x14ac:dyDescent="0.25">
      <c r="A776" t="s">
        <v>722</v>
      </c>
      <c r="B776" s="1">
        <v>40.766666666666666</v>
      </c>
      <c r="C776" s="1">
        <v>111.96666666666667</v>
      </c>
    </row>
    <row r="777" spans="1:3" x14ac:dyDescent="0.25">
      <c r="A777" t="s">
        <v>723</v>
      </c>
      <c r="B777" s="1">
        <v>40.450000000000003</v>
      </c>
      <c r="C777" s="1">
        <v>109.51666666666667</v>
      </c>
    </row>
    <row r="778" spans="1:3" x14ac:dyDescent="0.25">
      <c r="B778" s="1"/>
      <c r="C778" s="1"/>
    </row>
    <row r="779" spans="1:3" x14ac:dyDescent="0.25">
      <c r="A779" t="s">
        <v>403</v>
      </c>
      <c r="B779" t="s">
        <v>7</v>
      </c>
      <c r="C779" t="s">
        <v>8</v>
      </c>
    </row>
    <row r="780" spans="1:3" x14ac:dyDescent="0.25">
      <c r="A780" t="s">
        <v>404</v>
      </c>
      <c r="B780" s="1">
        <v>44.2</v>
      </c>
      <c r="C780" s="1">
        <v>72.516666666666666</v>
      </c>
    </row>
    <row r="781" spans="1:3" x14ac:dyDescent="0.25">
      <c r="A781" t="s">
        <v>539</v>
      </c>
      <c r="B781" s="1">
        <v>44.466666666666669</v>
      </c>
      <c r="C781" s="1">
        <v>73.150000000000006</v>
      </c>
    </row>
    <row r="782" spans="1:3" x14ac:dyDescent="0.25">
      <c r="A782" t="s">
        <v>405</v>
      </c>
      <c r="B782" s="1">
        <v>43.6</v>
      </c>
      <c r="C782" s="1">
        <v>72.966666666666669</v>
      </c>
    </row>
    <row r="784" spans="1:3" x14ac:dyDescent="0.25">
      <c r="A784" t="s">
        <v>406</v>
      </c>
      <c r="B784" t="s">
        <v>7</v>
      </c>
      <c r="C784" t="s">
        <v>8</v>
      </c>
    </row>
    <row r="785" spans="1:3" x14ac:dyDescent="0.25">
      <c r="A785" t="s">
        <v>407</v>
      </c>
      <c r="B785" s="1">
        <v>38.033333333333331</v>
      </c>
      <c r="C785" s="1">
        <v>78.516666666666666</v>
      </c>
    </row>
    <row r="786" spans="1:3" x14ac:dyDescent="0.25">
      <c r="A786" t="s">
        <v>113</v>
      </c>
      <c r="B786" s="1">
        <v>36.56666666666667</v>
      </c>
      <c r="C786" s="1">
        <v>79.333333333333329</v>
      </c>
    </row>
    <row r="787" spans="1:3" x14ac:dyDescent="0.25">
      <c r="A787" t="s">
        <v>408</v>
      </c>
      <c r="B787" s="1">
        <v>38.299999999999997</v>
      </c>
      <c r="C787" s="1">
        <v>77.466666666666669</v>
      </c>
    </row>
    <row r="788" spans="1:3" x14ac:dyDescent="0.25">
      <c r="A788" t="s">
        <v>409</v>
      </c>
      <c r="B788" s="1">
        <v>38.450000000000003</v>
      </c>
      <c r="C788" s="1">
        <v>78.900000000000006</v>
      </c>
    </row>
    <row r="789" spans="1:3" x14ac:dyDescent="0.25">
      <c r="A789" t="s">
        <v>724</v>
      </c>
      <c r="B789" s="1">
        <v>37.333333333333336</v>
      </c>
      <c r="C789" s="1">
        <v>79.2</v>
      </c>
    </row>
    <row r="790" spans="1:3" x14ac:dyDescent="0.25">
      <c r="A790" t="s">
        <v>243</v>
      </c>
      <c r="B790" s="1">
        <v>36.9</v>
      </c>
      <c r="C790" s="1">
        <v>76.2</v>
      </c>
    </row>
    <row r="791" spans="1:3" x14ac:dyDescent="0.25">
      <c r="A791" t="s">
        <v>410</v>
      </c>
      <c r="B791" s="1">
        <v>37.18333333333333</v>
      </c>
      <c r="C791" s="1">
        <v>77.516666666666666</v>
      </c>
    </row>
    <row r="792" spans="1:3" x14ac:dyDescent="0.25">
      <c r="A792" t="s">
        <v>41</v>
      </c>
      <c r="B792" s="1">
        <v>37.5</v>
      </c>
      <c r="C792" s="1">
        <v>77.333333333333329</v>
      </c>
    </row>
    <row r="793" spans="1:3" x14ac:dyDescent="0.25">
      <c r="A793" t="s">
        <v>725</v>
      </c>
      <c r="B793" s="1">
        <v>37.31666666666667</v>
      </c>
      <c r="C793" s="1">
        <v>79.966666666666669</v>
      </c>
    </row>
    <row r="794" spans="1:3" x14ac:dyDescent="0.25">
      <c r="A794" t="s">
        <v>411</v>
      </c>
      <c r="B794" s="1">
        <v>38.266666666666666</v>
      </c>
      <c r="C794" s="1">
        <v>78.900000000000006</v>
      </c>
    </row>
    <row r="795" spans="1:3" x14ac:dyDescent="0.25">
      <c r="A795" t="s">
        <v>412</v>
      </c>
      <c r="B795" s="1">
        <v>39.200000000000003</v>
      </c>
      <c r="C795" s="1">
        <v>78.166666666666671</v>
      </c>
    </row>
    <row r="797" spans="1:3" x14ac:dyDescent="0.25">
      <c r="A797" t="s">
        <v>413</v>
      </c>
      <c r="B797" t="s">
        <v>7</v>
      </c>
      <c r="C797" t="s">
        <v>8</v>
      </c>
    </row>
    <row r="798" spans="1:3" x14ac:dyDescent="0.25">
      <c r="A798" t="s">
        <v>414</v>
      </c>
      <c r="B798" s="1">
        <v>46.983333333333334</v>
      </c>
      <c r="C798" s="1">
        <v>123.81666666666666</v>
      </c>
    </row>
    <row r="799" spans="1:3" x14ac:dyDescent="0.25">
      <c r="A799" t="s">
        <v>726</v>
      </c>
      <c r="B799" s="1">
        <v>48.8</v>
      </c>
      <c r="C799" s="1">
        <v>122.53333333333333</v>
      </c>
    </row>
    <row r="800" spans="1:3" x14ac:dyDescent="0.25">
      <c r="A800" t="s">
        <v>415</v>
      </c>
      <c r="B800" s="1">
        <v>47.56666666666667</v>
      </c>
      <c r="C800" s="1">
        <v>122.66666666666667</v>
      </c>
    </row>
    <row r="801" spans="1:3" x14ac:dyDescent="0.25">
      <c r="A801" t="s">
        <v>727</v>
      </c>
      <c r="B801" s="1">
        <v>47.033333333333331</v>
      </c>
      <c r="C801" s="1">
        <v>120.51666666666667</v>
      </c>
    </row>
    <row r="802" spans="1:3" x14ac:dyDescent="0.25">
      <c r="A802" t="s">
        <v>416</v>
      </c>
      <c r="B802" s="1">
        <v>47.916666666666664</v>
      </c>
      <c r="C802" s="1">
        <v>122.28333333333333</v>
      </c>
    </row>
    <row r="803" spans="1:3" x14ac:dyDescent="0.25">
      <c r="A803" t="s">
        <v>417</v>
      </c>
      <c r="B803" s="1">
        <v>46.216666666666669</v>
      </c>
      <c r="C803" s="1">
        <v>119.13333333333334</v>
      </c>
    </row>
    <row r="804" spans="1:3" x14ac:dyDescent="0.25">
      <c r="A804" t="s">
        <v>385</v>
      </c>
      <c r="B804" s="1">
        <v>46.166666666666664</v>
      </c>
      <c r="C804" s="1">
        <v>122.93333333333334</v>
      </c>
    </row>
    <row r="805" spans="1:3" x14ac:dyDescent="0.25">
      <c r="A805" t="s">
        <v>418</v>
      </c>
      <c r="B805" s="1">
        <v>47.2</v>
      </c>
      <c r="C805" s="1">
        <v>119.31666666666666</v>
      </c>
    </row>
    <row r="806" spans="1:3" x14ac:dyDescent="0.25">
      <c r="A806" t="s">
        <v>728</v>
      </c>
      <c r="B806" s="1">
        <v>46.966666666666669</v>
      </c>
      <c r="C806" s="1">
        <v>122.9</v>
      </c>
    </row>
    <row r="807" spans="1:3" x14ac:dyDescent="0.25">
      <c r="A807" t="s">
        <v>419</v>
      </c>
      <c r="B807" s="1">
        <v>48.116666666666667</v>
      </c>
      <c r="C807" s="1">
        <v>123.43333333333334</v>
      </c>
    </row>
    <row r="808" spans="1:3" x14ac:dyDescent="0.25">
      <c r="A808" t="s">
        <v>420</v>
      </c>
      <c r="B808" s="1">
        <v>47.533333333333331</v>
      </c>
      <c r="C808" s="1">
        <v>122.3</v>
      </c>
    </row>
    <row r="809" spans="1:3" x14ac:dyDescent="0.25">
      <c r="A809" t="s">
        <v>729</v>
      </c>
      <c r="B809" s="1">
        <v>47.65</v>
      </c>
      <c r="C809" s="1">
        <v>122.3</v>
      </c>
    </row>
    <row r="810" spans="1:3" x14ac:dyDescent="0.25">
      <c r="A810" t="s">
        <v>730</v>
      </c>
      <c r="B810" s="1">
        <v>47.45</v>
      </c>
      <c r="C810" s="1">
        <v>122.3</v>
      </c>
    </row>
    <row r="811" spans="1:3" x14ac:dyDescent="0.25">
      <c r="A811" t="s">
        <v>731</v>
      </c>
      <c r="B811" s="1">
        <v>47.633333333333333</v>
      </c>
      <c r="C811" s="1">
        <v>117.51666666666667</v>
      </c>
    </row>
    <row r="812" spans="1:3" x14ac:dyDescent="0.25">
      <c r="A812" t="s">
        <v>421</v>
      </c>
      <c r="B812" s="1">
        <v>47.25</v>
      </c>
      <c r="C812" s="1">
        <v>122.5</v>
      </c>
    </row>
    <row r="813" spans="1:3" x14ac:dyDescent="0.25">
      <c r="A813" t="s">
        <v>732</v>
      </c>
      <c r="B813" s="1">
        <v>46.1</v>
      </c>
      <c r="C813" s="1">
        <v>118.28333333333333</v>
      </c>
    </row>
    <row r="814" spans="1:3" x14ac:dyDescent="0.25">
      <c r="A814" t="s">
        <v>422</v>
      </c>
      <c r="B814" s="1">
        <v>47.416666666666664</v>
      </c>
      <c r="C814" s="1">
        <v>120.31666666666666</v>
      </c>
    </row>
    <row r="815" spans="1:3" x14ac:dyDescent="0.25">
      <c r="A815" t="s">
        <v>733</v>
      </c>
      <c r="B815" s="1">
        <v>46.56666666666667</v>
      </c>
      <c r="C815" s="1">
        <v>120.53333333333333</v>
      </c>
    </row>
    <row r="817" spans="1:3" x14ac:dyDescent="0.25">
      <c r="A817" t="s">
        <v>423</v>
      </c>
      <c r="B817" t="s">
        <v>7</v>
      </c>
      <c r="C817" t="s">
        <v>8</v>
      </c>
    </row>
    <row r="818" spans="1:3" x14ac:dyDescent="0.25">
      <c r="A818" t="s">
        <v>424</v>
      </c>
      <c r="B818" s="1">
        <v>37.783333333333331</v>
      </c>
      <c r="C818" s="1">
        <v>81.11666666666666</v>
      </c>
    </row>
    <row r="819" spans="1:3" x14ac:dyDescent="0.25">
      <c r="A819" t="s">
        <v>734</v>
      </c>
      <c r="B819" s="1">
        <v>37.299999999999997</v>
      </c>
      <c r="C819" s="1">
        <v>81.216666666666669</v>
      </c>
    </row>
    <row r="820" spans="1:3" x14ac:dyDescent="0.25">
      <c r="A820" t="s">
        <v>735</v>
      </c>
      <c r="B820" s="1">
        <v>38.366666666666667</v>
      </c>
      <c r="C820" s="1">
        <v>81.599999999999994</v>
      </c>
    </row>
    <row r="821" spans="1:3" x14ac:dyDescent="0.25">
      <c r="A821" t="s">
        <v>425</v>
      </c>
      <c r="B821" s="1">
        <v>39.266666666666666</v>
      </c>
      <c r="C821" s="1">
        <v>80.349999999999994</v>
      </c>
    </row>
    <row r="822" spans="1:3" x14ac:dyDescent="0.25">
      <c r="A822" t="s">
        <v>736</v>
      </c>
      <c r="B822" s="1">
        <v>38.883333333333333</v>
      </c>
      <c r="C822" s="1">
        <v>79.849999999999994</v>
      </c>
    </row>
    <row r="823" spans="1:3" x14ac:dyDescent="0.25">
      <c r="A823" t="s">
        <v>426</v>
      </c>
      <c r="B823" s="1">
        <v>38.416666666666664</v>
      </c>
      <c r="C823" s="1">
        <v>82.5</v>
      </c>
    </row>
    <row r="824" spans="1:3" x14ac:dyDescent="0.25">
      <c r="A824" t="s">
        <v>737</v>
      </c>
      <c r="B824" s="1">
        <v>39.4</v>
      </c>
      <c r="C824" s="1">
        <v>77.983333333333334</v>
      </c>
    </row>
    <row r="825" spans="1:3" x14ac:dyDescent="0.25">
      <c r="A825" t="s">
        <v>738</v>
      </c>
      <c r="B825" s="1">
        <v>39.65</v>
      </c>
      <c r="C825" s="1">
        <v>79.916666666666671</v>
      </c>
    </row>
    <row r="826" spans="1:3" x14ac:dyDescent="0.25">
      <c r="A826" t="s">
        <v>427</v>
      </c>
      <c r="B826" s="1">
        <v>39.266666666666666</v>
      </c>
      <c r="C826" s="1">
        <v>81.566666666666663</v>
      </c>
    </row>
    <row r="827" spans="1:3" x14ac:dyDescent="0.25">
      <c r="A827" t="s">
        <v>428</v>
      </c>
      <c r="B827" s="1">
        <v>40.116666666666667</v>
      </c>
      <c r="C827" s="1">
        <v>80.7</v>
      </c>
    </row>
    <row r="829" spans="1:3" x14ac:dyDescent="0.25">
      <c r="A829" t="s">
        <v>429</v>
      </c>
      <c r="B829" t="s">
        <v>7</v>
      </c>
      <c r="C829" t="s">
        <v>8</v>
      </c>
    </row>
    <row r="830" spans="1:3" x14ac:dyDescent="0.25">
      <c r="A830" t="s">
        <v>430</v>
      </c>
      <c r="B830" s="1">
        <v>44.25</v>
      </c>
      <c r="C830" s="1">
        <v>88.38333333333334</v>
      </c>
    </row>
    <row r="831" spans="1:3" x14ac:dyDescent="0.25">
      <c r="A831" t="s">
        <v>163</v>
      </c>
      <c r="B831" s="1">
        <v>46.56666666666667</v>
      </c>
      <c r="C831" s="1">
        <v>90.966666666666669</v>
      </c>
    </row>
    <row r="832" spans="1:3" x14ac:dyDescent="0.25">
      <c r="A832" t="s">
        <v>431</v>
      </c>
      <c r="B832" s="1">
        <v>42.5</v>
      </c>
      <c r="C832" s="1">
        <v>89.033333333333331</v>
      </c>
    </row>
    <row r="833" spans="1:3" x14ac:dyDescent="0.25">
      <c r="A833" t="s">
        <v>739</v>
      </c>
      <c r="B833" s="1">
        <v>44.866666666666667</v>
      </c>
      <c r="C833" s="1">
        <v>91.483333333333334</v>
      </c>
    </row>
    <row r="834" spans="1:3" x14ac:dyDescent="0.25">
      <c r="A834" t="s">
        <v>432</v>
      </c>
      <c r="B834" s="1">
        <v>43.8</v>
      </c>
      <c r="C834" s="1">
        <v>88.45</v>
      </c>
    </row>
    <row r="835" spans="1:3" x14ac:dyDescent="0.25">
      <c r="A835" t="s">
        <v>740</v>
      </c>
      <c r="B835" s="1">
        <v>44.483333333333334</v>
      </c>
      <c r="C835" s="1">
        <v>88.13333333333334</v>
      </c>
    </row>
    <row r="836" spans="1:3" x14ac:dyDescent="0.25">
      <c r="A836" t="s">
        <v>741</v>
      </c>
      <c r="B836" s="1">
        <v>43.866666666666667</v>
      </c>
      <c r="C836" s="1">
        <v>91.25</v>
      </c>
    </row>
    <row r="837" spans="1:3" x14ac:dyDescent="0.25">
      <c r="A837" t="s">
        <v>742</v>
      </c>
      <c r="B837" s="1">
        <v>43.133333333333333</v>
      </c>
      <c r="C837" s="1">
        <v>89.333333333333329</v>
      </c>
    </row>
    <row r="838" spans="1:3" x14ac:dyDescent="0.25">
      <c r="A838" t="s">
        <v>433</v>
      </c>
      <c r="B838" s="1">
        <v>44.1</v>
      </c>
      <c r="C838" s="1">
        <v>87.683333333333337</v>
      </c>
    </row>
    <row r="839" spans="1:3" x14ac:dyDescent="0.25">
      <c r="A839" t="s">
        <v>434</v>
      </c>
      <c r="B839" s="1">
        <v>45.1</v>
      </c>
      <c r="C839" s="1">
        <v>87.63333333333334</v>
      </c>
    </row>
    <row r="840" spans="1:3" x14ac:dyDescent="0.25">
      <c r="A840" t="s">
        <v>743</v>
      </c>
      <c r="B840" s="1">
        <v>42.95</v>
      </c>
      <c r="C840" s="1">
        <v>87.9</v>
      </c>
    </row>
    <row r="841" spans="1:3" x14ac:dyDescent="0.25">
      <c r="A841" t="s">
        <v>435</v>
      </c>
      <c r="B841" s="1">
        <v>42.716666666666669</v>
      </c>
      <c r="C841" s="1">
        <v>87.85</v>
      </c>
    </row>
    <row r="842" spans="1:3" x14ac:dyDescent="0.25">
      <c r="A842" t="s">
        <v>436</v>
      </c>
      <c r="B842" s="1">
        <v>43.75</v>
      </c>
      <c r="C842" s="1">
        <v>87.716666666666669</v>
      </c>
    </row>
    <row r="843" spans="1:3" x14ac:dyDescent="0.25">
      <c r="A843" t="s">
        <v>437</v>
      </c>
      <c r="B843" s="1">
        <v>44.5</v>
      </c>
      <c r="C843" s="1">
        <v>89.566666666666663</v>
      </c>
    </row>
    <row r="844" spans="1:3" x14ac:dyDescent="0.25">
      <c r="A844" t="s">
        <v>438</v>
      </c>
      <c r="B844" s="1">
        <v>43.016666666666666</v>
      </c>
      <c r="C844" s="1">
        <v>88.233333333333334</v>
      </c>
    </row>
    <row r="845" spans="1:3" x14ac:dyDescent="0.25">
      <c r="A845" t="s">
        <v>744</v>
      </c>
      <c r="B845" s="1">
        <v>44.916666666666664</v>
      </c>
      <c r="C845" s="1">
        <v>89.61666666666666</v>
      </c>
    </row>
    <row r="847" spans="1:3" x14ac:dyDescent="0.25">
      <c r="A847" t="s">
        <v>439</v>
      </c>
      <c r="B847" t="s">
        <v>7</v>
      </c>
      <c r="C847" t="s">
        <v>8</v>
      </c>
    </row>
    <row r="848" spans="1:3" x14ac:dyDescent="0.25">
      <c r="A848" t="s">
        <v>745</v>
      </c>
      <c r="B848" s="1">
        <v>42.916666666666664</v>
      </c>
      <c r="C848" s="1">
        <v>106.46666666666667</v>
      </c>
    </row>
    <row r="849" spans="1:3" x14ac:dyDescent="0.25">
      <c r="A849" t="s">
        <v>440</v>
      </c>
      <c r="B849" s="1">
        <v>41.15</v>
      </c>
      <c r="C849" s="1">
        <v>104.81666666666666</v>
      </c>
    </row>
    <row r="850" spans="1:3" x14ac:dyDescent="0.25">
      <c r="A850" t="s">
        <v>746</v>
      </c>
      <c r="B850" s="1">
        <v>44.55</v>
      </c>
      <c r="C850" s="1">
        <v>109.06666666666666</v>
      </c>
    </row>
    <row r="851" spans="1:3" x14ac:dyDescent="0.25">
      <c r="A851" t="s">
        <v>441</v>
      </c>
      <c r="B851" s="1">
        <v>41.266666666666666</v>
      </c>
      <c r="C851" s="1">
        <v>110.95</v>
      </c>
    </row>
    <row r="852" spans="1:3" x14ac:dyDescent="0.25">
      <c r="A852" t="s">
        <v>747</v>
      </c>
      <c r="B852" s="1">
        <v>42.81666666666667</v>
      </c>
      <c r="C852" s="1">
        <v>108.73333333333333</v>
      </c>
    </row>
    <row r="853" spans="1:3" x14ac:dyDescent="0.25">
      <c r="A853" t="s">
        <v>748</v>
      </c>
      <c r="B853" s="1">
        <v>41.31666666666667</v>
      </c>
      <c r="C853" s="1">
        <v>105.68333333333334</v>
      </c>
    </row>
    <row r="854" spans="1:3" x14ac:dyDescent="0.25">
      <c r="A854" t="s">
        <v>442</v>
      </c>
      <c r="B854" s="1">
        <v>43.85</v>
      </c>
      <c r="C854" s="1">
        <v>104.21666666666667</v>
      </c>
    </row>
    <row r="855" spans="1:3" x14ac:dyDescent="0.25">
      <c r="A855" t="s">
        <v>443</v>
      </c>
      <c r="B855" s="1">
        <v>41.8</v>
      </c>
      <c r="C855" s="1">
        <v>107.2</v>
      </c>
    </row>
    <row r="856" spans="1:3" x14ac:dyDescent="0.25">
      <c r="A856" t="s">
        <v>749</v>
      </c>
      <c r="B856" s="1">
        <v>41.6</v>
      </c>
      <c r="C856" s="1">
        <v>109</v>
      </c>
    </row>
    <row r="857" spans="1:3" x14ac:dyDescent="0.25">
      <c r="A857" t="s">
        <v>750</v>
      </c>
      <c r="B857" s="1">
        <v>44.766666666666666</v>
      </c>
      <c r="C857" s="1">
        <v>106.96666666666667</v>
      </c>
    </row>
    <row r="858" spans="1:3" x14ac:dyDescent="0.25">
      <c r="A858" t="s">
        <v>444</v>
      </c>
      <c r="B858" s="1">
        <v>42.083333333333336</v>
      </c>
      <c r="C858" s="1">
        <v>104.21666666666667</v>
      </c>
    </row>
    <row r="860" spans="1:3" x14ac:dyDescent="0.25">
      <c r="A860" t="s">
        <v>752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58</vt:i4>
      </vt:variant>
    </vt:vector>
  </HeadingPairs>
  <TitlesOfParts>
    <vt:vector size="60" baseType="lpstr">
      <vt:lpstr>Dashboard</vt:lpstr>
      <vt:lpstr>Data</vt:lpstr>
      <vt:lpstr>a</vt:lpstr>
      <vt:lpstr>ALABAMA</vt:lpstr>
      <vt:lpstr>ALASKA</vt:lpstr>
      <vt:lpstr>ARIZONA</vt:lpstr>
      <vt:lpstr>ARKANSAS</vt:lpstr>
      <vt:lpstr>b</vt:lpstr>
      <vt:lpstr>c_</vt:lpstr>
      <vt:lpstr>CALIFORNIA</vt:lpstr>
      <vt:lpstr>COLORADO</vt:lpstr>
      <vt:lpstr>CONNECTICUT</vt:lpstr>
      <vt:lpstr>DELAWARE</vt:lpstr>
      <vt:lpstr>DISTRICT_OF_COLUMBIA</vt:lpstr>
      <vt:lpstr>FLORIDA</vt:lpstr>
      <vt:lpstr>GEORGIA</vt:lpstr>
      <vt:lpstr>HAWAII</vt:lpstr>
      <vt:lpstr>IDAHO</vt:lpstr>
      <vt:lpstr>ILLINOIS</vt:lpstr>
      <vt:lpstr>INDIANA</vt:lpstr>
      <vt:lpstr>IOWA</vt:lpstr>
      <vt:lpstr>KANSAS</vt:lpstr>
      <vt:lpstr>KENTUCKY</vt:lpstr>
      <vt:lpstr>lat_1</vt:lpstr>
      <vt:lpstr>lat_2</vt:lpstr>
      <vt:lpstr>lon_1</vt:lpstr>
      <vt:lpstr>lon_2</vt:lpstr>
      <vt:lpstr>LOUISIANA</vt:lpstr>
      <vt:lpstr>MAINE</vt:lpstr>
      <vt:lpstr>MARYLAND</vt:lpstr>
      <vt:lpstr>MASSACHUSETTS</vt:lpstr>
      <vt:lpstr>MICHIGAN</vt:lpstr>
      <vt:lpstr>MINNESOTA</vt:lpstr>
      <vt:lpstr>MISSISSIPPI</vt:lpstr>
      <vt:lpstr>MISSOURI</vt:lpstr>
      <vt:lpstr>MONTANA</vt:lpstr>
      <vt:lpstr>NEBRASKA</vt:lpstr>
      <vt:lpstr>NEVADA</vt:lpstr>
      <vt:lpstr>NEW_HAMPSHIRE</vt:lpstr>
      <vt:lpstr>NEW_JERSEY</vt:lpstr>
      <vt:lpstr>NEW_MEXICO</vt:lpstr>
      <vt:lpstr>NEW_YORK</vt:lpstr>
      <vt:lpstr>NORTH_CAROLINA</vt:lpstr>
      <vt:lpstr>NORTH_DAKOTA</vt:lpstr>
      <vt:lpstr>OHIO</vt:lpstr>
      <vt:lpstr>OKLAHOMA</vt:lpstr>
      <vt:lpstr>OREGON</vt:lpstr>
      <vt:lpstr>PENNSYLVANIA</vt:lpstr>
      <vt:lpstr>RHODE_ISLAND</vt:lpstr>
      <vt:lpstr>SOUTH_CAROLINA</vt:lpstr>
      <vt:lpstr>SOUTH_DAKOTA</vt:lpstr>
      <vt:lpstr>TENNESSEE</vt:lpstr>
      <vt:lpstr>TEXAS</vt:lpstr>
      <vt:lpstr>UTAH</vt:lpstr>
      <vt:lpstr>VERMONT</vt:lpstr>
      <vt:lpstr>VIRGINIA</vt:lpstr>
      <vt:lpstr>WASHINGTON</vt:lpstr>
      <vt:lpstr>WEST_VIRGINIA</vt:lpstr>
      <vt:lpstr>WISCONSIN</vt:lpstr>
      <vt:lpstr>WYOMING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</dc:creator>
  <cp:lastModifiedBy>Divya Sharma</cp:lastModifiedBy>
  <dcterms:created xsi:type="dcterms:W3CDTF">2014-10-18T04:05:55Z</dcterms:created>
  <dcterms:modified xsi:type="dcterms:W3CDTF">2022-04-21T08:20:06Z</dcterms:modified>
</cp:coreProperties>
</file>