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318F5927-E9E4-4723-BB2B-6BDD9A0B5563}" xr6:coauthVersionLast="47" xr6:coauthVersionMax="47" xr10:uidLastSave="{00000000-0000-0000-0000-000000000000}"/>
  <bookViews>
    <workbookView xWindow="-120" yWindow="-120" windowWidth="20730" windowHeight="11160" xr2:uid="{92503F77-4EF9-43FE-84EA-261630EEFA20}"/>
  </bookViews>
  <sheets>
    <sheet name="Dashboard" sheetId="1" r:id="rId1"/>
    <sheet name="Calculations" sheetId="2" r:id="rId2"/>
    <sheet name="Original Data" sheetId="4" r:id="rId3"/>
  </sheets>
  <definedNames>
    <definedName name="Beta">MMULT(XtXinv,Xty)</definedName>
    <definedName name="n">Calculations!$M$9</definedName>
    <definedName name="p">Calculations!$M$10</definedName>
    <definedName name="res">ydata-ypred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Dashboard!$B$7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Calculations!$M$3</definedName>
    <definedName name="SST">Calculations!$M$6</definedName>
    <definedName name="X">OFFSET(Calculations!$R$3,0,,COUNT(Dashboard!$A:$A),Dashboard!$E$2+1)</definedName>
    <definedName name="xdata">OFFSET(Dashboard!$A$1,1,,COUNT(Dashboard!$A:$A),1)</definedName>
    <definedName name="Xt">TRANSPOSE(X)</definedName>
    <definedName name="XtX">MMULT(Xt,X)</definedName>
    <definedName name="XtXinv">MINVERSE(XtX)</definedName>
    <definedName name="Xty">MMULT(Xt,ydata)</definedName>
    <definedName name="ybar">Calculations!$M$5</definedName>
    <definedName name="ydata">OFFSET(Dashboard!$B$1,1,0,COUNT(Dashboard!$B:$B),1)</definedName>
    <definedName name="ypred">MMULT(X,MMULT(MINVERSE(XtX),Xty))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2" l="1"/>
  <c r="M9" i="2"/>
  <c r="M5" i="2"/>
  <c r="J3" i="2" s="1" a="1"/>
  <c r="J3" i="2" s="1"/>
  <c r="M6" i="2" s="1"/>
  <c r="V3" i="2" a="1"/>
  <c r="V3" i="2" s="1"/>
  <c r="S3" i="2" a="1"/>
  <c r="S3" i="2" s="1"/>
  <c r="U3" i="2" a="1"/>
  <c r="U3" i="2" s="1"/>
  <c r="T3" i="2" a="1"/>
  <c r="T3" i="2" s="1"/>
  <c r="R3" i="2" l="1" a="1"/>
  <c r="R3" i="2" s="1"/>
  <c r="H3" i="2" s="1" a="1"/>
  <c r="H3" i="2" s="1"/>
  <c r="G3" i="2" a="1"/>
  <c r="G3" i="2" s="1"/>
  <c r="G39" i="2" l="1" a="1"/>
  <c r="G39" i="2" s="1"/>
  <c r="A3" i="2" a="1"/>
  <c r="A3" i="2" s="1"/>
  <c r="I3" i="2" a="1"/>
  <c r="I3" i="2" s="1"/>
  <c r="M3" i="2"/>
  <c r="H6" i="1" s="1"/>
  <c r="A39" i="2" a="1"/>
  <c r="A39" i="2" s="1"/>
  <c r="G32" i="2" a="1"/>
  <c r="G32" i="2" s="1"/>
  <c r="A32" i="2" a="1"/>
  <c r="A32" i="2" s="1"/>
  <c r="A25" i="2" a="1"/>
  <c r="A25" i="2" s="1"/>
  <c r="H5" i="1" l="1"/>
  <c r="R42" i="2" l="1"/>
  <c r="R43" i="2"/>
  <c r="R40" i="2"/>
  <c r="R41" i="2"/>
  <c r="R39" i="2"/>
  <c r="E8" i="1" l="1"/>
  <c r="E9" i="1"/>
  <c r="E7" i="1"/>
  <c r="E5" i="1"/>
  <c r="E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<sst xmlns="http://schemas.openxmlformats.org/spreadsheetml/2006/main" count="29" uniqueCount="25">
  <si>
    <t>x</t>
  </si>
  <si>
    <t>y</t>
  </si>
  <si>
    <t>Order:</t>
  </si>
  <si>
    <t>X</t>
  </si>
  <si>
    <t>XtX</t>
  </si>
  <si>
    <t>Xt</t>
  </si>
  <si>
    <t>XtXinv</t>
  </si>
  <si>
    <t>Xty</t>
  </si>
  <si>
    <t>Beta</t>
  </si>
  <si>
    <t>Beta0</t>
  </si>
  <si>
    <t>Beta1</t>
  </si>
  <si>
    <t>Beta2</t>
  </si>
  <si>
    <t>Beta3</t>
  </si>
  <si>
    <t>Beta4</t>
  </si>
  <si>
    <t>Model Coefficients</t>
  </si>
  <si>
    <t>Standard Error: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</si>
  <si>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-Adj:</t>
    </r>
  </si>
  <si>
    <t>ypred</t>
  </si>
  <si>
    <t>res</t>
  </si>
  <si>
    <t>ybar</t>
  </si>
  <si>
    <t>y-ybar</t>
  </si>
  <si>
    <t>SST</t>
  </si>
  <si>
    <t>SSE</t>
  </si>
  <si>
    <t>n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</si>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</sst>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/>
    <xf numFmtId="0" fontId="0" fillId="0" borderId="6" xfId="0" applyBorder="1" applyAlignment="1">
      <alignment horizontal="right"/>
    </xf>
    <xf numFmtId="164" fontId="0" fillId="0" borderId="3" xfId="0" applyNumberFormat="1" applyBorder="1"/>
    <xf numFmtId="164" fontId="0" fillId="0" borderId="8" xfId="0" applyNumberFormat="1" applyBorder="1"/>
    <xf numFmtId="0" fontId="0" fillId="0" borderId="13" xfId="0" applyNumberFormat="1" applyBorder="1"/>
    <xf numFmtId="0" fontId="0" fillId="0" borderId="0" xfId="0" applyAlignment="1">
      <alignment horizontal="right"/>
    </xf>
    <xf numFmtId="0" fontId="0" fillId="0" borderId="1" xfId="0" applyNumberFormat="1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0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14" xfId="0" applyBorder="1"/>
    <xf numFmtId="2" fontId="0" fillId="0" borderId="14" xfId="0" applyNumberFormat="1" applyBorder="1" applyAlignment="1">
      <alignment horizontal="right"/>
    </xf>
    <xf numFmtId="2" fontId="0" fillId="0" borderId="9" xfId="0" applyNumberFormat="1" applyBorder="1"/>
    <xf numFmtId="2" fontId="0" fillId="0" borderId="1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10</xdr:row>
          <xdr:rowOff>95250</xdr:rowOff>
        </xdr:from>
        <xdr:to>
          <xdr:col>4</xdr:col>
          <xdr:colOff>581025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14</xdr:row>
          <xdr:rowOff>171450</xdr:rowOff>
        </xdr:from>
        <xdr:to>
          <xdr:col>4</xdr:col>
          <xdr:colOff>600075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819F-B48A-4F9B-9593-48B24B277745}">
  <sheetPr codeName="Sheet1"/>
  <dimension ref="A1:H21"/>
  <sheetViews>
    <sheetView tabSelected="1" workbookViewId="0">
      <selection activeCell="J15" sqref="J15"/>
    </sheetView>
  </sheetViews>
  <sheetFormatPr defaultRowHeight="15" x14ac:dyDescent="0.25"/>
  <cols>
    <col min="7" max="7" width="12.85546875" bestFit="1" customWidth="1"/>
  </cols>
  <sheetData>
    <row r="1" spans="1:8" x14ac:dyDescent="0.25">
      <c r="A1" t="s">
        <v>0</v>
      </c>
      <c r="B1" t="s">
        <v>1</v>
      </c>
    </row>
    <row r="2" spans="1:8" x14ac:dyDescent="0.25">
      <c r="A2" s="1">
        <v>1</v>
      </c>
      <c r="B2" s="3">
        <v>5</v>
      </c>
      <c r="D2" s="13" t="s">
        <v>2</v>
      </c>
      <c r="E2" s="18">
        <v>3</v>
      </c>
    </row>
    <row r="3" spans="1:8" x14ac:dyDescent="0.25">
      <c r="A3" s="4">
        <v>2</v>
      </c>
      <c r="B3" s="6">
        <v>6</v>
      </c>
    </row>
    <row r="4" spans="1:8" x14ac:dyDescent="0.25">
      <c r="A4" s="4">
        <v>3</v>
      </c>
      <c r="B4" s="6">
        <v>10</v>
      </c>
      <c r="D4" s="14" t="s">
        <v>14</v>
      </c>
    </row>
    <row r="5" spans="1:8" x14ac:dyDescent="0.25">
      <c r="A5" s="4">
        <v>4</v>
      </c>
      <c r="B5" s="6">
        <v>20</v>
      </c>
      <c r="D5" s="26" t="s">
        <v>9</v>
      </c>
      <c r="E5" s="27">
        <f ca="1">IFERROR(_xlfn.XLOOKUP($D5,Calculations!$R$39:$R$43,Calculations!$G$39:$G$43),"N/A")</f>
        <v>1.5555555555342835</v>
      </c>
      <c r="G5" s="1" t="s">
        <v>15</v>
      </c>
      <c r="H5" s="16">
        <f ca="1">SQRT(SSE/(n-p))</f>
        <v>2.894264617613199</v>
      </c>
    </row>
    <row r="6" spans="1:8" ht="17.25" x14ac:dyDescent="0.25">
      <c r="A6" s="4">
        <v>5</v>
      </c>
      <c r="B6" s="6">
        <v>28</v>
      </c>
      <c r="D6" s="26" t="s">
        <v>10</v>
      </c>
      <c r="E6" s="27">
        <f ca="1">IFERROR(_xlfn.XLOOKUP($D6,Calculations!$R$39:$R$43,Calculations!$G$39:$G$43),"N/A")</f>
        <v>0.74326599327241638</v>
      </c>
      <c r="G6" s="15" t="s">
        <v>16</v>
      </c>
      <c r="H6" s="17">
        <f ca="1">1-SSE/(n-p)/(SST/(n-1))</f>
        <v>0.95708500976752009</v>
      </c>
    </row>
    <row r="7" spans="1:8" x14ac:dyDescent="0.25">
      <c r="A7" s="4">
        <v>6</v>
      </c>
      <c r="B7" s="6">
        <v>33</v>
      </c>
      <c r="D7" s="26" t="s">
        <v>11</v>
      </c>
      <c r="E7" s="27">
        <f ca="1">IFERROR(_xlfn.XLOOKUP($D7,Calculations!$R$39:$R$43,Calculations!$G$39:$G$43),"N/A")</f>
        <v>1.3080808080801489</v>
      </c>
    </row>
    <row r="8" spans="1:8" x14ac:dyDescent="0.25">
      <c r="A8" s="4">
        <v>7</v>
      </c>
      <c r="B8" s="6">
        <v>34</v>
      </c>
      <c r="D8" s="26" t="s">
        <v>12</v>
      </c>
      <c r="E8" s="27">
        <f ca="1">IFERROR(_xlfn.XLOOKUP($D8,Calculations!$R$39:$R$43,Calculations!$G$39:$G$43),"N/A")</f>
        <v>-0.10185185185180501</v>
      </c>
    </row>
    <row r="9" spans="1:8" x14ac:dyDescent="0.25">
      <c r="A9" s="4">
        <v>8</v>
      </c>
      <c r="B9" s="6">
        <v>36</v>
      </c>
      <c r="D9" s="26" t="s">
        <v>13</v>
      </c>
      <c r="E9" s="27" t="str">
        <f ca="1">IFERROR(_xlfn.XLOOKUP($D9,Calculations!$R$39:$R$43,Calculations!$G$39:$G$43),"N/A")</f>
        <v>N/A</v>
      </c>
    </row>
    <row r="10" spans="1:8" x14ac:dyDescent="0.25">
      <c r="A10" s="4">
        <v>9</v>
      </c>
      <c r="B10" s="6">
        <v>42</v>
      </c>
    </row>
    <row r="11" spans="1:8" x14ac:dyDescent="0.25">
      <c r="A11" s="4"/>
      <c r="B11" s="6"/>
    </row>
    <row r="12" spans="1:8" x14ac:dyDescent="0.25">
      <c r="A12" s="4"/>
      <c r="B12" s="6"/>
    </row>
    <row r="13" spans="1:8" x14ac:dyDescent="0.25">
      <c r="A13" s="4"/>
      <c r="B13" s="6"/>
    </row>
    <row r="14" spans="1:8" x14ac:dyDescent="0.25">
      <c r="A14" s="4"/>
      <c r="B14" s="6"/>
    </row>
    <row r="15" spans="1:8" x14ac:dyDescent="0.25">
      <c r="A15" s="4"/>
      <c r="B15" s="6"/>
    </row>
    <row r="16" spans="1:8" x14ac:dyDescent="0.25">
      <c r="A16" s="4"/>
      <c r="B16" s="6"/>
    </row>
    <row r="17" spans="1:2" x14ac:dyDescent="0.25">
      <c r="A17" s="4"/>
      <c r="B17" s="6"/>
    </row>
    <row r="18" spans="1:2" x14ac:dyDescent="0.25">
      <c r="A18" s="4"/>
      <c r="B18" s="6"/>
    </row>
    <row r="19" spans="1:2" x14ac:dyDescent="0.25">
      <c r="A19" s="4"/>
      <c r="B19" s="6"/>
    </row>
    <row r="20" spans="1:2" x14ac:dyDescent="0.25">
      <c r="A20" s="4"/>
      <c r="B20" s="6"/>
    </row>
    <row r="21" spans="1:2" x14ac:dyDescent="0.25">
      <c r="A21" s="7"/>
      <c r="B21" s="9"/>
    </row>
  </sheetData>
  <dataValidations count="1">
    <dataValidation type="list" allowBlank="1" showInputMessage="1" showErrorMessage="1" sqref="E2" xr:uid="{C5531AEE-91C5-4BB0-82DD-F950BD82665C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de">
                <anchor moveWithCells="1" sizeWithCells="1">
                  <from>
                    <xdr:col>3</xdr:col>
                    <xdr:colOff>123825</xdr:colOff>
                    <xdr:row>10</xdr:row>
                    <xdr:rowOff>95250</xdr:rowOff>
                  </from>
                  <to>
                    <xdr:col>4</xdr:col>
                    <xdr:colOff>581025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3</xdr:col>
                    <xdr:colOff>152400</xdr:colOff>
                    <xdr:row>14</xdr:row>
                    <xdr:rowOff>171450</xdr:rowOff>
                  </from>
                  <to>
                    <xdr:col>4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ECA-FDC3-4BAB-8721-CE660D8E6435}">
  <sheetPr codeName="Sheet2"/>
  <dimension ref="A2:V43"/>
  <sheetViews>
    <sheetView workbookViewId="0">
      <selection activeCell="A3" sqref="A3"/>
    </sheetView>
  </sheetViews>
  <sheetFormatPr defaultRowHeight="15" x14ac:dyDescent="0.25"/>
  <cols>
    <col min="12" max="12" width="14.85546875" customWidth="1"/>
    <col min="18" max="18" width="0" hidden="1" customWidth="1"/>
    <col min="19" max="22" width="9.140625" hidden="1" customWidth="1"/>
  </cols>
  <sheetData>
    <row r="2" spans="1:22" x14ac:dyDescent="0.25">
      <c r="A2" t="s">
        <v>3</v>
      </c>
      <c r="B2" s="19">
        <v>1</v>
      </c>
      <c r="C2" s="19">
        <v>2</v>
      </c>
      <c r="D2" s="19">
        <v>3</v>
      </c>
      <c r="E2" s="19">
        <v>4</v>
      </c>
      <c r="G2" t="s">
        <v>1</v>
      </c>
      <c r="H2" t="s">
        <v>17</v>
      </c>
      <c r="I2" t="s">
        <v>18</v>
      </c>
      <c r="J2" t="s">
        <v>20</v>
      </c>
      <c r="R2" t="s">
        <v>3</v>
      </c>
      <c r="S2" s="19">
        <v>1</v>
      </c>
      <c r="T2" s="19">
        <v>2</v>
      </c>
      <c r="U2" s="19">
        <v>3</v>
      </c>
      <c r="V2" s="19">
        <v>4</v>
      </c>
    </row>
    <row r="3" spans="1:22" x14ac:dyDescent="0.25">
      <c r="A3" s="1" cm="1">
        <f t="array" aca="1" ref="A3:D11" ca="1">OFFSET($R$3,0,,COUNT(Dashboard!$A:$A),Dashboard!$E$2+1)</f>
        <v>1</v>
      </c>
      <c r="B3" s="2">
        <f ca="1"/>
        <v>1</v>
      </c>
      <c r="C3" s="2">
        <f ca="1"/>
        <v>1</v>
      </c>
      <c r="D3" s="2">
        <f ca="1"/>
        <v>1</v>
      </c>
      <c r="E3" s="3"/>
      <c r="G3" s="10" cm="1">
        <f t="array" aca="1" ref="G3:G11" ca="1">ydata</f>
        <v>5</v>
      </c>
      <c r="H3" s="28" cm="1">
        <f t="array" aca="1" ref="H3:H11" ca="1">MMULT(X,Beta)</f>
        <v>3.5050505050350438</v>
      </c>
      <c r="I3" s="28" cm="1">
        <f t="array" aca="1" ref="I3:I11" ca="1">ydata-ypred</f>
        <v>1.4949494949649562</v>
      </c>
      <c r="J3" s="10" cm="1">
        <f t="array" aca="1" ref="J3:J11" ca="1">ydata-ybar</f>
        <v>-18.777777777777779</v>
      </c>
      <c r="L3" t="s">
        <v>22</v>
      </c>
      <c r="M3">
        <f ca="1">SUMSQ(res)</f>
        <v>41.883838383838388</v>
      </c>
      <c r="R3" s="1" cm="1">
        <f t="array" aca="1" ref="R3:R11" ca="1">IF(NOT(ISBLANK(_xlfn.ANCHORARRAY(S3))),1)</f>
        <v>1</v>
      </c>
      <c r="S3" s="2" cm="1">
        <f t="array" aca="1" ref="S3:S11" ca="1">IF(Dashboard!$E$2&gt;=S$2,xdata,0)</f>
        <v>1</v>
      </c>
      <c r="T3" s="2" cm="1">
        <f t="array" aca="1" ref="T3:T11" ca="1">IF(Dashboard!$E$2&gt;=T$2,xdata^T$2,0)</f>
        <v>1</v>
      </c>
      <c r="U3" s="2" cm="1">
        <f t="array" aca="1" ref="U3:U11" ca="1">IF(Dashboard!$E$2&gt;=U$2,xdata^U$2,0)</f>
        <v>1</v>
      </c>
      <c r="V3" s="3" cm="1">
        <f t="array" ref="V3">IF(Dashboard!$E$2&gt;=V$2,xdata^V$2,0)</f>
        <v>0</v>
      </c>
    </row>
    <row r="4" spans="1:22" x14ac:dyDescent="0.25">
      <c r="A4" s="4">
        <f ca="1"/>
        <v>1</v>
      </c>
      <c r="B4" s="5">
        <f ca="1"/>
        <v>2</v>
      </c>
      <c r="C4" s="5">
        <f ca="1"/>
        <v>4</v>
      </c>
      <c r="D4" s="5">
        <f ca="1"/>
        <v>8</v>
      </c>
      <c r="E4" s="6"/>
      <c r="G4" s="11">
        <f ca="1"/>
        <v>6</v>
      </c>
      <c r="H4" s="29">
        <f ca="1"/>
        <v>7.4595959595852719</v>
      </c>
      <c r="I4" s="29">
        <f ca="1"/>
        <v>-1.4595959595852719</v>
      </c>
      <c r="J4" s="11">
        <f ca="1"/>
        <v>-17.777777777777779</v>
      </c>
      <c r="R4">
        <f ca="1"/>
        <v>1</v>
      </c>
      <c r="S4" s="5">
        <f ca="1"/>
        <v>2</v>
      </c>
      <c r="T4" s="5">
        <f ca="1"/>
        <v>4</v>
      </c>
      <c r="U4" s="5">
        <f ca="1"/>
        <v>8</v>
      </c>
    </row>
    <row r="5" spans="1:22" x14ac:dyDescent="0.25">
      <c r="A5" s="4">
        <f ca="1"/>
        <v>1</v>
      </c>
      <c r="B5" s="5">
        <f ca="1"/>
        <v>3</v>
      </c>
      <c r="C5" s="5">
        <f ca="1"/>
        <v>9</v>
      </c>
      <c r="D5" s="5">
        <f ca="1"/>
        <v>27</v>
      </c>
      <c r="E5" s="6"/>
      <c r="G5" s="11">
        <f ca="1"/>
        <v>10</v>
      </c>
      <c r="H5" s="29">
        <f ca="1"/>
        <v>12.808080808074138</v>
      </c>
      <c r="I5" s="29">
        <f ca="1"/>
        <v>-2.8080808080741377</v>
      </c>
      <c r="J5" s="11">
        <f ca="1"/>
        <v>-13.777777777777779</v>
      </c>
      <c r="L5" t="s">
        <v>19</v>
      </c>
      <c r="M5">
        <f ca="1">AVERAGE(ydata)</f>
        <v>23.777777777777779</v>
      </c>
      <c r="R5">
        <f ca="1"/>
        <v>1</v>
      </c>
      <c r="S5" s="5">
        <f ca="1"/>
        <v>3</v>
      </c>
      <c r="T5" s="5">
        <f ca="1"/>
        <v>9</v>
      </c>
      <c r="U5" s="5">
        <f ca="1"/>
        <v>27</v>
      </c>
    </row>
    <row r="6" spans="1:22" x14ac:dyDescent="0.25">
      <c r="A6" s="4">
        <f ca="1"/>
        <v>1</v>
      </c>
      <c r="B6" s="5">
        <f ca="1"/>
        <v>4</v>
      </c>
      <c r="C6" s="5">
        <f ca="1"/>
        <v>16</v>
      </c>
      <c r="D6" s="5">
        <f ca="1"/>
        <v>64</v>
      </c>
      <c r="E6" s="6"/>
      <c r="G6" s="11">
        <f ca="1"/>
        <v>20</v>
      </c>
      <c r="H6" s="29">
        <f ca="1"/>
        <v>18.939393939390811</v>
      </c>
      <c r="I6" s="29">
        <f ca="1"/>
        <v>1.0606060606091887</v>
      </c>
      <c r="J6" s="11">
        <f ca="1"/>
        <v>-3.7777777777777786</v>
      </c>
      <c r="L6" t="s">
        <v>21</v>
      </c>
      <c r="M6">
        <f ca="1">SUMSQ(_xlfn.ANCHORARRAY(J3))</f>
        <v>1561.5555555555554</v>
      </c>
      <c r="R6">
        <f ca="1"/>
        <v>1</v>
      </c>
      <c r="S6" s="5">
        <f ca="1"/>
        <v>4</v>
      </c>
      <c r="T6" s="5">
        <f ca="1"/>
        <v>16</v>
      </c>
      <c r="U6" s="5">
        <f ca="1"/>
        <v>64</v>
      </c>
    </row>
    <row r="7" spans="1:22" x14ac:dyDescent="0.25">
      <c r="A7" s="4">
        <f ca="1"/>
        <v>1</v>
      </c>
      <c r="B7" s="5">
        <f ca="1"/>
        <v>5</v>
      </c>
      <c r="C7" s="5">
        <f ca="1"/>
        <v>25</v>
      </c>
      <c r="D7" s="5">
        <f ca="1"/>
        <v>125</v>
      </c>
      <c r="E7" s="6"/>
      <c r="G7" s="11">
        <f ca="1"/>
        <v>28</v>
      </c>
      <c r="H7" s="29">
        <f ca="1"/>
        <v>25.242424242424462</v>
      </c>
      <c r="I7" s="29">
        <f ca="1"/>
        <v>2.7575757575755375</v>
      </c>
      <c r="J7" s="11">
        <f ca="1"/>
        <v>4.2222222222222214</v>
      </c>
      <c r="R7">
        <f ca="1"/>
        <v>1</v>
      </c>
      <c r="S7" s="5">
        <f ca="1"/>
        <v>5</v>
      </c>
      <c r="T7" s="5">
        <f ca="1"/>
        <v>25</v>
      </c>
      <c r="U7" s="5">
        <f ca="1"/>
        <v>125</v>
      </c>
    </row>
    <row r="8" spans="1:22" x14ac:dyDescent="0.25">
      <c r="A8" s="4">
        <f ca="1"/>
        <v>1</v>
      </c>
      <c r="B8" s="5">
        <f ca="1"/>
        <v>6</v>
      </c>
      <c r="C8" s="5">
        <f ca="1"/>
        <v>36</v>
      </c>
      <c r="D8" s="5">
        <f ca="1"/>
        <v>216</v>
      </c>
      <c r="E8" s="6"/>
      <c r="G8" s="11">
        <f ca="1"/>
        <v>33</v>
      </c>
      <c r="H8" s="29">
        <f ca="1"/>
        <v>31.106060606064261</v>
      </c>
      <c r="I8" s="29">
        <f ca="1"/>
        <v>1.8939393939357387</v>
      </c>
      <c r="J8" s="11">
        <f ca="1"/>
        <v>9.2222222222222214</v>
      </c>
      <c r="R8">
        <f ca="1"/>
        <v>1</v>
      </c>
      <c r="S8" s="5">
        <f ca="1"/>
        <v>6</v>
      </c>
      <c r="T8" s="5">
        <f ca="1"/>
        <v>36</v>
      </c>
      <c r="U8" s="5">
        <f ca="1"/>
        <v>216</v>
      </c>
    </row>
    <row r="9" spans="1:22" x14ac:dyDescent="0.25">
      <c r="A9" s="4">
        <f ca="1"/>
        <v>1</v>
      </c>
      <c r="B9" s="5">
        <f ca="1"/>
        <v>7</v>
      </c>
      <c r="C9" s="5">
        <f ca="1"/>
        <v>49</v>
      </c>
      <c r="D9" s="5">
        <f ca="1"/>
        <v>343</v>
      </c>
      <c r="E9" s="6"/>
      <c r="G9" s="11">
        <f ca="1"/>
        <v>34</v>
      </c>
      <c r="H9" s="29">
        <f ca="1"/>
        <v>35.919191919199378</v>
      </c>
      <c r="I9" s="29">
        <f ca="1"/>
        <v>-1.9191919191993776</v>
      </c>
      <c r="J9" s="11">
        <f ca="1"/>
        <v>10.222222222222221</v>
      </c>
      <c r="L9" t="s">
        <v>23</v>
      </c>
      <c r="M9">
        <f ca="1">COUNT(xdata)</f>
        <v>9</v>
      </c>
      <c r="R9">
        <f ca="1"/>
        <v>1</v>
      </c>
      <c r="S9" s="5">
        <f ca="1"/>
        <v>7</v>
      </c>
      <c r="T9" s="5">
        <f ca="1"/>
        <v>49</v>
      </c>
      <c r="U9" s="5">
        <f ca="1"/>
        <v>343</v>
      </c>
    </row>
    <row r="10" spans="1:22" x14ac:dyDescent="0.25">
      <c r="A10" s="4">
        <f ca="1"/>
        <v>1</v>
      </c>
      <c r="B10" s="5">
        <f ca="1"/>
        <v>8</v>
      </c>
      <c r="C10" s="5">
        <f ca="1"/>
        <v>64</v>
      </c>
      <c r="D10" s="5">
        <f ca="1"/>
        <v>512</v>
      </c>
      <c r="E10" s="6"/>
      <c r="G10" s="11">
        <f ca="1"/>
        <v>36</v>
      </c>
      <c r="H10" s="29">
        <f ca="1"/>
        <v>39.070707070718981</v>
      </c>
      <c r="I10" s="29">
        <f ca="1"/>
        <v>-3.0707070707189814</v>
      </c>
      <c r="J10" s="11">
        <f ca="1"/>
        <v>12.222222222222221</v>
      </c>
      <c r="L10" t="s">
        <v>24</v>
      </c>
      <c r="M10">
        <f>Dashboard!$E$2+1</f>
        <v>4</v>
      </c>
      <c r="R10">
        <f ca="1"/>
        <v>1</v>
      </c>
      <c r="S10" s="5">
        <f ca="1"/>
        <v>8</v>
      </c>
      <c r="T10" s="5">
        <f ca="1"/>
        <v>64</v>
      </c>
      <c r="U10" s="5">
        <f ca="1"/>
        <v>512</v>
      </c>
    </row>
    <row r="11" spans="1:22" x14ac:dyDescent="0.25">
      <c r="A11" s="4">
        <f ca="1"/>
        <v>1</v>
      </c>
      <c r="B11" s="5">
        <f ca="1"/>
        <v>9</v>
      </c>
      <c r="C11" s="5">
        <f ca="1"/>
        <v>81</v>
      </c>
      <c r="D11" s="5">
        <f ca="1"/>
        <v>729</v>
      </c>
      <c r="E11" s="6"/>
      <c r="G11" s="11">
        <f ca="1"/>
        <v>42</v>
      </c>
      <c r="H11" s="11">
        <f ca="1"/>
        <v>39.949494949512243</v>
      </c>
      <c r="I11" s="11">
        <f ca="1"/>
        <v>2.0505050504877573</v>
      </c>
      <c r="J11" s="11">
        <f ca="1"/>
        <v>18.222222222222221</v>
      </c>
      <c r="R11">
        <f ca="1"/>
        <v>1</v>
      </c>
      <c r="S11" s="5">
        <f ca="1"/>
        <v>9</v>
      </c>
      <c r="T11" s="5">
        <f ca="1"/>
        <v>81</v>
      </c>
      <c r="U11" s="5">
        <f ca="1"/>
        <v>729</v>
      </c>
    </row>
    <row r="12" spans="1:22" x14ac:dyDescent="0.25">
      <c r="A12" s="4"/>
      <c r="B12" s="5"/>
      <c r="C12" s="5"/>
      <c r="D12" s="5"/>
      <c r="E12" s="6"/>
      <c r="G12" s="11"/>
      <c r="H12" s="11"/>
      <c r="I12" s="11"/>
      <c r="J12" s="11"/>
    </row>
    <row r="13" spans="1:22" x14ac:dyDescent="0.25">
      <c r="A13" s="4"/>
      <c r="B13" s="5"/>
      <c r="C13" s="5"/>
      <c r="D13" s="5"/>
      <c r="E13" s="6"/>
      <c r="G13" s="11"/>
      <c r="H13" s="11"/>
      <c r="I13" s="11"/>
      <c r="J13" s="11"/>
    </row>
    <row r="14" spans="1:22" x14ac:dyDescent="0.25">
      <c r="A14" s="4"/>
      <c r="B14" s="5"/>
      <c r="C14" s="5"/>
      <c r="D14" s="5"/>
      <c r="E14" s="6"/>
      <c r="G14" s="11"/>
      <c r="H14" s="11"/>
      <c r="I14" s="11"/>
      <c r="J14" s="11"/>
    </row>
    <row r="15" spans="1:22" x14ac:dyDescent="0.25">
      <c r="A15" s="4"/>
      <c r="B15" s="5"/>
      <c r="C15" s="5"/>
      <c r="D15" s="5"/>
      <c r="E15" s="6"/>
      <c r="G15" s="11"/>
      <c r="H15" s="11"/>
      <c r="I15" s="11"/>
      <c r="J15" s="11"/>
    </row>
    <row r="16" spans="1:22" x14ac:dyDescent="0.25">
      <c r="A16" s="4"/>
      <c r="B16" s="5"/>
      <c r="C16" s="5"/>
      <c r="D16" s="5"/>
      <c r="E16" s="6"/>
      <c r="G16" s="11"/>
      <c r="H16" s="11"/>
      <c r="I16" s="11"/>
      <c r="J16" s="11"/>
    </row>
    <row r="17" spans="1:20" x14ac:dyDescent="0.25">
      <c r="A17" s="4"/>
      <c r="B17" s="5"/>
      <c r="C17" s="5"/>
      <c r="D17" s="5"/>
      <c r="E17" s="6"/>
      <c r="G17" s="11"/>
      <c r="H17" s="11"/>
      <c r="I17" s="11"/>
      <c r="J17" s="11"/>
    </row>
    <row r="18" spans="1:20" x14ac:dyDescent="0.25">
      <c r="A18" s="4"/>
      <c r="B18" s="5"/>
      <c r="C18" s="5"/>
      <c r="D18" s="5"/>
      <c r="E18" s="6"/>
      <c r="G18" s="11"/>
      <c r="H18" s="11"/>
      <c r="I18" s="11"/>
      <c r="J18" s="11"/>
    </row>
    <row r="19" spans="1:20" x14ac:dyDescent="0.25">
      <c r="A19" s="4"/>
      <c r="B19" s="5"/>
      <c r="C19" s="5"/>
      <c r="D19" s="5"/>
      <c r="E19" s="6"/>
      <c r="G19" s="11"/>
      <c r="H19" s="11"/>
      <c r="I19" s="11"/>
      <c r="J19" s="11"/>
    </row>
    <row r="20" spans="1:20" x14ac:dyDescent="0.25">
      <c r="A20" s="4"/>
      <c r="B20" s="5"/>
      <c r="C20" s="5"/>
      <c r="D20" s="5"/>
      <c r="E20" s="6"/>
      <c r="G20" s="11"/>
      <c r="H20" s="11"/>
      <c r="I20" s="11"/>
      <c r="J20" s="11"/>
    </row>
    <row r="21" spans="1:20" x14ac:dyDescent="0.25">
      <c r="A21" s="4"/>
      <c r="B21" s="5"/>
      <c r="C21" s="5"/>
      <c r="D21" s="5"/>
      <c r="E21" s="6"/>
      <c r="G21" s="11"/>
      <c r="H21" s="11"/>
      <c r="I21" s="11"/>
      <c r="J21" s="11"/>
    </row>
    <row r="22" spans="1:20" x14ac:dyDescent="0.25">
      <c r="A22" s="7"/>
      <c r="B22" s="8"/>
      <c r="C22" s="8"/>
      <c r="D22" s="8"/>
      <c r="E22" s="9"/>
      <c r="G22" s="12"/>
      <c r="H22" s="12"/>
      <c r="I22" s="12"/>
      <c r="J22" s="12"/>
    </row>
    <row r="24" spans="1:20" x14ac:dyDescent="0.25">
      <c r="A24" t="s">
        <v>5</v>
      </c>
    </row>
    <row r="25" spans="1:20" x14ac:dyDescent="0.25">
      <c r="A25" s="20" cm="1">
        <f t="array" aca="1" ref="A25:I28" ca="1">Xt</f>
        <v>1</v>
      </c>
      <c r="B25" s="21">
        <f ca="1"/>
        <v>1</v>
      </c>
      <c r="C25" s="21">
        <f ca="1"/>
        <v>1</v>
      </c>
      <c r="D25" s="21">
        <f ca="1"/>
        <v>1</v>
      </c>
      <c r="E25" s="21">
        <f ca="1"/>
        <v>1</v>
      </c>
      <c r="F25" s="21">
        <f ca="1"/>
        <v>1</v>
      </c>
      <c r="G25" s="21">
        <f ca="1"/>
        <v>1</v>
      </c>
      <c r="H25" s="21">
        <f ca="1"/>
        <v>1</v>
      </c>
      <c r="I25" s="21">
        <f ca="1"/>
        <v>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3"/>
    </row>
    <row r="26" spans="1:20" x14ac:dyDescent="0.25">
      <c r="A26" s="22">
        <f ca="1"/>
        <v>1</v>
      </c>
      <c r="B26" s="23">
        <f ca="1"/>
        <v>2</v>
      </c>
      <c r="C26" s="23">
        <f ca="1"/>
        <v>3</v>
      </c>
      <c r="D26" s="23">
        <f ca="1"/>
        <v>4</v>
      </c>
      <c r="E26" s="23">
        <f ca="1"/>
        <v>5</v>
      </c>
      <c r="F26" s="23">
        <f ca="1"/>
        <v>6</v>
      </c>
      <c r="G26" s="23">
        <f ca="1"/>
        <v>7</v>
      </c>
      <c r="H26" s="23">
        <f ca="1"/>
        <v>8</v>
      </c>
      <c r="I26" s="23">
        <f ca="1"/>
        <v>9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6"/>
    </row>
    <row r="27" spans="1:20" x14ac:dyDescent="0.25">
      <c r="A27" s="22">
        <f ca="1"/>
        <v>1</v>
      </c>
      <c r="B27" s="23">
        <f ca="1"/>
        <v>4</v>
      </c>
      <c r="C27" s="23">
        <f ca="1"/>
        <v>9</v>
      </c>
      <c r="D27" s="23">
        <f ca="1"/>
        <v>16</v>
      </c>
      <c r="E27" s="23">
        <f ca="1"/>
        <v>25</v>
      </c>
      <c r="F27" s="23">
        <f ca="1"/>
        <v>36</v>
      </c>
      <c r="G27" s="23">
        <f ca="1"/>
        <v>49</v>
      </c>
      <c r="H27" s="23">
        <f ca="1"/>
        <v>64</v>
      </c>
      <c r="I27" s="23">
        <f ca="1"/>
        <v>81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6"/>
    </row>
    <row r="28" spans="1:20" x14ac:dyDescent="0.25">
      <c r="A28" s="22">
        <f ca="1"/>
        <v>1</v>
      </c>
      <c r="B28" s="23">
        <f ca="1"/>
        <v>8</v>
      </c>
      <c r="C28" s="23">
        <f ca="1"/>
        <v>27</v>
      </c>
      <c r="D28" s="23">
        <f ca="1"/>
        <v>64</v>
      </c>
      <c r="E28" s="23">
        <f ca="1"/>
        <v>125</v>
      </c>
      <c r="F28" s="23">
        <f ca="1"/>
        <v>216</v>
      </c>
      <c r="G28" s="23">
        <f ca="1"/>
        <v>343</v>
      </c>
      <c r="H28" s="23">
        <f ca="1"/>
        <v>512</v>
      </c>
      <c r="I28" s="23">
        <f ca="1"/>
        <v>729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6"/>
    </row>
    <row r="29" spans="1:20" x14ac:dyDescent="0.25">
      <c r="A29" s="24"/>
      <c r="B29" s="25"/>
      <c r="C29" s="25"/>
      <c r="D29" s="25"/>
      <c r="E29" s="25"/>
      <c r="F29" s="25"/>
      <c r="G29" s="25"/>
      <c r="H29" s="25"/>
      <c r="I29" s="25"/>
      <c r="J29" s="8"/>
      <c r="K29" s="8"/>
      <c r="L29" s="8"/>
      <c r="M29" s="8"/>
      <c r="N29" s="8"/>
      <c r="O29" s="8"/>
      <c r="P29" s="8"/>
      <c r="Q29" s="8"/>
      <c r="R29" s="8"/>
      <c r="S29" s="8"/>
      <c r="T29" s="9"/>
    </row>
    <row r="31" spans="1:20" x14ac:dyDescent="0.25">
      <c r="A31" t="s">
        <v>4</v>
      </c>
      <c r="G31" t="s">
        <v>7</v>
      </c>
    </row>
    <row r="32" spans="1:20" x14ac:dyDescent="0.25">
      <c r="A32" s="1" cm="1">
        <f t="array" aca="1" ref="A32:D35" ca="1">MMULT(Xt,X)</f>
        <v>9</v>
      </c>
      <c r="B32" s="2">
        <f ca="1"/>
        <v>45</v>
      </c>
      <c r="C32" s="2">
        <f ca="1"/>
        <v>285</v>
      </c>
      <c r="D32" s="2">
        <f ca="1"/>
        <v>2025</v>
      </c>
      <c r="E32" s="3"/>
      <c r="G32" s="10" cm="1">
        <f t="array" aca="1" ref="G32:G35" ca="1">MMULT(Xt,ydata)</f>
        <v>214</v>
      </c>
    </row>
    <row r="33" spans="1:18" x14ac:dyDescent="0.25">
      <c r="A33" s="4">
        <f ca="1"/>
        <v>45</v>
      </c>
      <c r="B33" s="5">
        <f ca="1"/>
        <v>285</v>
      </c>
      <c r="C33" s="5">
        <f ca="1"/>
        <v>2025</v>
      </c>
      <c r="D33" s="5">
        <f ca="1"/>
        <v>15333</v>
      </c>
      <c r="E33" s="6"/>
      <c r="G33" s="11">
        <f ca="1"/>
        <v>1369</v>
      </c>
    </row>
    <row r="34" spans="1:18" x14ac:dyDescent="0.25">
      <c r="A34" s="4">
        <f ca="1"/>
        <v>285</v>
      </c>
      <c r="B34" s="5">
        <f ca="1"/>
        <v>2025</v>
      </c>
      <c r="C34" s="5">
        <f ca="1"/>
        <v>15333</v>
      </c>
      <c r="D34" s="5">
        <f ca="1"/>
        <v>120825</v>
      </c>
      <c r="E34" s="6"/>
      <c r="G34" s="11">
        <f ca="1"/>
        <v>9699</v>
      </c>
    </row>
    <row r="35" spans="1:18" x14ac:dyDescent="0.25">
      <c r="A35" s="4">
        <f ca="1"/>
        <v>2025</v>
      </c>
      <c r="B35" s="5">
        <f ca="1"/>
        <v>15333</v>
      </c>
      <c r="C35" s="5">
        <f ca="1"/>
        <v>120825</v>
      </c>
      <c r="D35" s="5">
        <f ca="1"/>
        <v>978405</v>
      </c>
      <c r="E35" s="6"/>
      <c r="G35" s="11">
        <f ca="1"/>
        <v>72943</v>
      </c>
    </row>
    <row r="36" spans="1:18" x14ac:dyDescent="0.25">
      <c r="A36" s="7"/>
      <c r="B36" s="8"/>
      <c r="C36" s="8"/>
      <c r="D36" s="8"/>
      <c r="E36" s="9"/>
      <c r="G36" s="12"/>
    </row>
    <row r="38" spans="1:18" x14ac:dyDescent="0.25">
      <c r="A38" t="s">
        <v>6</v>
      </c>
      <c r="G38" t="s">
        <v>8</v>
      </c>
    </row>
    <row r="39" spans="1:18" x14ac:dyDescent="0.25">
      <c r="A39" s="1" cm="1">
        <f t="array" aca="1" ref="A39:D42" ca="1">MINVERSE(XtX)</f>
        <v>4.6746031746023373</v>
      </c>
      <c r="B39" s="2">
        <f ca="1"/>
        <v>-3.6044973544966155</v>
      </c>
      <c r="C39" s="2">
        <f ca="1"/>
        <v>0.75396825396808309</v>
      </c>
      <c r="D39" s="2">
        <f ca="1"/>
        <v>-4.6296296296285296E-2</v>
      </c>
      <c r="E39" s="3"/>
      <c r="G39" s="10" cm="1">
        <f t="array" aca="1" ref="G39:G42" ca="1">MMULT(XtXinv,Xty)</f>
        <v>1.5555555555342835</v>
      </c>
      <c r="R39" s="26" t="str">
        <f ca="1">IF(ISBLANK($G39),,"Beta0")</f>
        <v>Beta0</v>
      </c>
    </row>
    <row r="40" spans="1:18" x14ac:dyDescent="0.25">
      <c r="A40" s="4">
        <f ca="1"/>
        <v>-3.6044973544965213</v>
      </c>
      <c r="B40" s="5">
        <f ca="1"/>
        <v>3.1431377264703122</v>
      </c>
      <c r="C40" s="5">
        <f ca="1"/>
        <v>-0.6974506974505269</v>
      </c>
      <c r="D40" s="5">
        <f ca="1"/>
        <v>4.433221099886666E-2</v>
      </c>
      <c r="E40" s="6"/>
      <c r="G40" s="11">
        <f ca="1"/>
        <v>0.74326599327241638</v>
      </c>
      <c r="R40" s="26" t="str">
        <f ca="1">IF(ISBLANK($G40),,"Beta1")</f>
        <v>Beta1</v>
      </c>
    </row>
    <row r="41" spans="1:18" x14ac:dyDescent="0.25">
      <c r="A41" s="4">
        <f ca="1"/>
        <v>0.75396825396805334</v>
      </c>
      <c r="B41" s="5">
        <f ca="1"/>
        <v>-0.69745069745051669</v>
      </c>
      <c r="C41" s="5">
        <f ca="1"/>
        <v>0.16107503607499493</v>
      </c>
      <c r="D41" s="5">
        <f ca="1"/>
        <v>-1.0521885521882865E-2</v>
      </c>
      <c r="E41" s="6"/>
      <c r="G41" s="11">
        <f ca="1"/>
        <v>1.3080808080801489</v>
      </c>
      <c r="R41" s="26" t="str">
        <f ca="1">IF(ISBLANK($G41),,"Beta2")</f>
        <v>Beta2</v>
      </c>
    </row>
    <row r="42" spans="1:18" x14ac:dyDescent="0.25">
      <c r="A42" s="4">
        <f ca="1"/>
        <v>-4.6296296296282846E-2</v>
      </c>
      <c r="B42" s="5">
        <f ca="1"/>
        <v>4.4332210998865536E-2</v>
      </c>
      <c r="C42" s="5">
        <f ca="1"/>
        <v>-1.0521885521882761E-2</v>
      </c>
      <c r="D42" s="5">
        <f ca="1"/>
        <v>7.0145903479218973E-4</v>
      </c>
      <c r="E42" s="6"/>
      <c r="G42" s="11">
        <f ca="1"/>
        <v>-0.10185185185180501</v>
      </c>
      <c r="R42" s="26" t="str">
        <f ca="1">IF(ISBLANK($G42),,"Beta3")</f>
        <v>Beta3</v>
      </c>
    </row>
    <row r="43" spans="1:18" x14ac:dyDescent="0.25">
      <c r="A43" s="7"/>
      <c r="B43" s="8"/>
      <c r="C43" s="8"/>
      <c r="D43" s="8"/>
      <c r="E43" s="9"/>
      <c r="G43" s="12"/>
      <c r="R43" s="26">
        <f>IF(ISBLANK($G43),,"Beta4")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85B7-030B-4E48-8EBB-1009D186E8D8}">
  <sheetPr codeName="Sheet4"/>
  <dimension ref="A1:B21"/>
  <sheetViews>
    <sheetView workbookViewId="0">
      <selection activeCell="G15" sqref="G15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1</v>
      </c>
      <c r="B2" s="3">
        <v>5</v>
      </c>
    </row>
    <row r="3" spans="1:2" x14ac:dyDescent="0.25">
      <c r="A3" s="4">
        <v>2</v>
      </c>
      <c r="B3" s="6">
        <v>6</v>
      </c>
    </row>
    <row r="4" spans="1:2" x14ac:dyDescent="0.25">
      <c r="A4" s="4">
        <v>3</v>
      </c>
      <c r="B4" s="6">
        <v>10</v>
      </c>
    </row>
    <row r="5" spans="1:2" x14ac:dyDescent="0.25">
      <c r="A5" s="4">
        <v>4</v>
      </c>
      <c r="B5" s="6">
        <v>20</v>
      </c>
    </row>
    <row r="6" spans="1:2" x14ac:dyDescent="0.25">
      <c r="A6" s="4">
        <v>5</v>
      </c>
      <c r="B6" s="6">
        <v>28</v>
      </c>
    </row>
    <row r="7" spans="1:2" x14ac:dyDescent="0.25">
      <c r="A7" s="4">
        <v>6</v>
      </c>
      <c r="B7" s="6">
        <v>33</v>
      </c>
    </row>
    <row r="8" spans="1:2" x14ac:dyDescent="0.25">
      <c r="A8" s="4">
        <v>7</v>
      </c>
      <c r="B8" s="6">
        <v>34</v>
      </c>
    </row>
    <row r="9" spans="1:2" x14ac:dyDescent="0.25">
      <c r="A9" s="4">
        <v>8</v>
      </c>
      <c r="B9" s="6">
        <v>36</v>
      </c>
    </row>
    <row r="10" spans="1:2" x14ac:dyDescent="0.25">
      <c r="A10" s="4">
        <v>9</v>
      </c>
      <c r="B10" s="6">
        <v>42</v>
      </c>
    </row>
    <row r="11" spans="1:2" x14ac:dyDescent="0.25">
      <c r="A11" s="4"/>
      <c r="B11" s="6"/>
    </row>
    <row r="12" spans="1:2" x14ac:dyDescent="0.25">
      <c r="A12" s="4"/>
      <c r="B12" s="6"/>
    </row>
    <row r="13" spans="1:2" x14ac:dyDescent="0.25">
      <c r="A13" s="4"/>
      <c r="B13" s="6"/>
    </row>
    <row r="14" spans="1:2" x14ac:dyDescent="0.25">
      <c r="A14" s="4"/>
      <c r="B14" s="6"/>
    </row>
    <row r="15" spans="1:2" x14ac:dyDescent="0.25">
      <c r="A15" s="4"/>
      <c r="B15" s="6"/>
    </row>
    <row r="16" spans="1:2" x14ac:dyDescent="0.25">
      <c r="A16" s="4"/>
      <c r="B16" s="6"/>
    </row>
    <row r="17" spans="1:2" x14ac:dyDescent="0.25">
      <c r="A17" s="4"/>
      <c r="B17" s="6"/>
    </row>
    <row r="18" spans="1:2" x14ac:dyDescent="0.25">
      <c r="A18" s="4"/>
      <c r="B18" s="6"/>
    </row>
    <row r="19" spans="1:2" x14ac:dyDescent="0.25">
      <c r="A19" s="4"/>
      <c r="B19" s="6"/>
    </row>
    <row r="20" spans="1:2" x14ac:dyDescent="0.25">
      <c r="A20" s="4"/>
      <c r="B20" s="6"/>
    </row>
    <row r="21" spans="1:2" x14ac:dyDescent="0.25">
      <c r="A21" s="7"/>
      <c r="B2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Calculations</vt:lpstr>
      <vt:lpstr>Original Data</vt:lpstr>
      <vt:lpstr>n</vt:lpstr>
      <vt:lpstr>p</vt:lpstr>
      <vt:lpstr>SSE</vt:lpstr>
      <vt:lpstr>SST</vt:lpstr>
      <vt:lpstr>ybar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2021-01-15T21:37:37Z</dcterms:created>
  <dcterms:modified xsi:type="dcterms:W3CDTF">2022-04-21T08:26:41Z</dcterms:modified>
</cp:coreProperties>
</file>