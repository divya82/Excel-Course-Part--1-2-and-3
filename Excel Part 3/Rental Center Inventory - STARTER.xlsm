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8_{4C31DEBC-6FFC-4A75-BFA7-8A0C7F636DB0}" xr6:coauthVersionLast="47" xr6:coauthVersionMax="47" xr10:uidLastSave="{00000000-0000-0000-0000-000000000000}"/>
  <bookViews>
    <workbookView xWindow="-120" yWindow="-120" windowWidth="20730" windowHeight="11160" xr2:uid="{94953603-1D3A-4867-A4F6-56329C14B462}"/>
  </bookViews>
  <sheets>
    <sheet name="Dashboard" sheetId="2" r:id="rId1"/>
    <sheet name="Inventory" sheetId="1" r:id="rId2"/>
    <sheet name="Original Data" sheetId="3" r:id="rId3"/>
  </sheets>
  <externalReferences>
    <externalReference r:id="rId4"/>
  </externalReferences>
  <definedNames>
    <definedName name="Brand">[1]Dashboard!$C$4</definedName>
    <definedName name="Category">[1]Dashboard!$C$2</definedName>
    <definedName name="Description">[1]Dashboard!$C$3</definedName>
    <definedName name="SizeModel">[1]Dashboard!$C$5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" l="1"/>
  <c r="C9" i="2"/>
  <c r="C8" i="2"/>
  <c r="C7" i="2"/>
  <c r="Q3" i="1" a="1"/>
  <c r="Q3" i="1" s="1"/>
  <c r="P3" i="1" a="1"/>
  <c r="P3" i="1" s="1"/>
  <c r="O3" i="1" a="1"/>
  <c r="O3" i="1" s="1"/>
  <c r="N3" i="1" a="1"/>
  <c r="N3" i="1" s="1"/>
  <c r="L3" i="1" a="1"/>
  <c r="L3" i="1" s="1"/>
  <c r="K3" i="1" a="1"/>
  <c r="K3" i="1" s="1"/>
  <c r="V3" i="1" l="1" a="1"/>
  <c r="V3" i="1" s="1"/>
  <c r="W3" i="1" s="1" a="1"/>
  <c r="T3" i="1" a="1"/>
  <c r="T3" i="1" s="1"/>
  <c r="U3" i="1" s="1" a="1"/>
  <c r="U3" i="1" s="1"/>
  <c r="R3" i="1" a="1"/>
  <c r="R3" i="1" s="1"/>
  <c r="S3" i="1" s="1" a="1"/>
  <c r="S3" i="1" s="1"/>
  <c r="W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<sst xmlns="http://schemas.openxmlformats.org/spreadsheetml/2006/main" count="696" uniqueCount="190">
  <si>
    <t>Charlie's Rental Center</t>
  </si>
  <si>
    <t>Category</t>
  </si>
  <si>
    <t>Brand</t>
  </si>
  <si>
    <t>Power Tools</t>
  </si>
  <si>
    <t>Description</t>
  </si>
  <si>
    <t>Hand Tools</t>
  </si>
  <si>
    <t>Hand saw</t>
  </si>
  <si>
    <t>Woodson</t>
  </si>
  <si>
    <t>24 inches</t>
  </si>
  <si>
    <t>Circular saw</t>
  </si>
  <si>
    <t>Dewalt</t>
  </si>
  <si>
    <t>6.5-inch</t>
  </si>
  <si>
    <t>Ladders and scaffolding</t>
  </si>
  <si>
    <t>Ladder</t>
  </si>
  <si>
    <t>Smith Ladders</t>
  </si>
  <si>
    <t>20-foot</t>
  </si>
  <si>
    <t>Chairs and tables</t>
  </si>
  <si>
    <t>Folding chair</t>
  </si>
  <si>
    <t>--</t>
  </si>
  <si>
    <t>Plastic table</t>
  </si>
  <si>
    <t>Fanny's Furniture</t>
  </si>
  <si>
    <t>4 person</t>
  </si>
  <si>
    <t>Screwdriver</t>
  </si>
  <si>
    <t>Ace Hardware</t>
  </si>
  <si>
    <t>Excavating Equipment</t>
  </si>
  <si>
    <t>John Deere</t>
  </si>
  <si>
    <t>Size/Model</t>
  </si>
  <si>
    <t>35D</t>
  </si>
  <si>
    <t>Backhoe</t>
  </si>
  <si>
    <t>310SL</t>
  </si>
  <si>
    <t>Quantity</t>
  </si>
  <si>
    <t>Tents and gazebos</t>
  </si>
  <si>
    <t>Canvas party tent</t>
  </si>
  <si>
    <t>Party Solutions</t>
  </si>
  <si>
    <t>32' x 40'</t>
  </si>
  <si>
    <t>10' x 24'</t>
  </si>
  <si>
    <t>50' x 80'</t>
  </si>
  <si>
    <t>Carpet cleaning</t>
  </si>
  <si>
    <t>Steam cleaner</t>
  </si>
  <si>
    <t>Sanding and finishing</t>
  </si>
  <si>
    <t>Drum sander</t>
  </si>
  <si>
    <t>Metal scaffolding</t>
  </si>
  <si>
    <t>MetalTech</t>
  </si>
  <si>
    <t>1 set, 5' x 7'</t>
  </si>
  <si>
    <t>Safety platform</t>
  </si>
  <si>
    <t>7'</t>
  </si>
  <si>
    <t>Tile saw</t>
  </si>
  <si>
    <t>0.75 HP</t>
  </si>
  <si>
    <t>1.5 HP</t>
  </si>
  <si>
    <t>7-inch</t>
  </si>
  <si>
    <t>10-inch</t>
  </si>
  <si>
    <t>MK</t>
  </si>
  <si>
    <t>8-inch</t>
  </si>
  <si>
    <t>Mid-size excavator</t>
  </si>
  <si>
    <t>75G</t>
  </si>
  <si>
    <t>Large excavator</t>
  </si>
  <si>
    <t>670G</t>
  </si>
  <si>
    <t>CAT</t>
  </si>
  <si>
    <t>Mini excavator</t>
  </si>
  <si>
    <t>50G</t>
  </si>
  <si>
    <t>302 CR</t>
  </si>
  <si>
    <t>Skid Steer</t>
  </si>
  <si>
    <t>246D3</t>
  </si>
  <si>
    <t>Cleaning and polishing</t>
  </si>
  <si>
    <t>Vacuum</t>
  </si>
  <si>
    <t>Palm sander</t>
  </si>
  <si>
    <t>Floor sander</t>
  </si>
  <si>
    <t>Floor polisher</t>
  </si>
  <si>
    <t>Brad nailer</t>
  </si>
  <si>
    <t>Air compressors and nailers</t>
  </si>
  <si>
    <t>Milwaukee</t>
  </si>
  <si>
    <t>Framing nailer</t>
  </si>
  <si>
    <t>Powerless circular saw</t>
  </si>
  <si>
    <t>6-inch</t>
  </si>
  <si>
    <t>Cleveland Tools</t>
  </si>
  <si>
    <t>Concrete and foundations</t>
  </si>
  <si>
    <t>Concrete form</t>
  </si>
  <si>
    <t>2' x 4'</t>
  </si>
  <si>
    <t>Concrete stakes</t>
  </si>
  <si>
    <t>Lawn and garden</t>
  </si>
  <si>
    <t>Woodworking tools</t>
  </si>
  <si>
    <t>Router</t>
  </si>
  <si>
    <t>Router w/ table</t>
  </si>
  <si>
    <t>Makita</t>
  </si>
  <si>
    <t>Handheld grinder</t>
  </si>
  <si>
    <t>Belt sander</t>
  </si>
  <si>
    <t>Porter Cable</t>
  </si>
  <si>
    <t>Impact driver - cordless</t>
  </si>
  <si>
    <t>Cordless drill</t>
  </si>
  <si>
    <t>Right angle drill</t>
  </si>
  <si>
    <t>Hole Hawg</t>
  </si>
  <si>
    <t>6 gal</t>
  </si>
  <si>
    <t>Husky</t>
  </si>
  <si>
    <t>20 gal</t>
  </si>
  <si>
    <t>Air compressor w/ hose</t>
  </si>
  <si>
    <t>12-inch</t>
  </si>
  <si>
    <t>Pruning saw</t>
  </si>
  <si>
    <t>14-inch</t>
  </si>
  <si>
    <t>Pruning snippers</t>
  </si>
  <si>
    <t>Extension cord</t>
  </si>
  <si>
    <t>25'</t>
  </si>
  <si>
    <t>50'</t>
  </si>
  <si>
    <t>Gasoline generator</t>
  </si>
  <si>
    <t>Portable Power</t>
  </si>
  <si>
    <t>Solar Panel</t>
  </si>
  <si>
    <t>Ryobi</t>
  </si>
  <si>
    <t>8,000-watt</t>
  </si>
  <si>
    <t>6,500-watt</t>
  </si>
  <si>
    <t>Sun Fun</t>
  </si>
  <si>
    <t>2 sq. meter</t>
  </si>
  <si>
    <t>10 sq. meter</t>
  </si>
  <si>
    <t>Round-point digging shovel</t>
  </si>
  <si>
    <t>Razor-Back</t>
  </si>
  <si>
    <t>48"</t>
  </si>
  <si>
    <t>Fiskars</t>
  </si>
  <si>
    <t>Square-point shovel</t>
  </si>
  <si>
    <t>Pickaxe</t>
  </si>
  <si>
    <t>6 lb</t>
  </si>
  <si>
    <t>5 lb</t>
  </si>
  <si>
    <t>Axe</t>
  </si>
  <si>
    <t>Hatchet</t>
  </si>
  <si>
    <t>Wood splitter</t>
  </si>
  <si>
    <t>27R</t>
  </si>
  <si>
    <t>15-amp/13"</t>
  </si>
  <si>
    <t>Ridgid</t>
  </si>
  <si>
    <t>12-amp/13"</t>
  </si>
  <si>
    <t>Snow shovel</t>
  </si>
  <si>
    <t>Harry's Tools</t>
  </si>
  <si>
    <t>24"</t>
  </si>
  <si>
    <t>Snowblower</t>
  </si>
  <si>
    <t>Cub</t>
  </si>
  <si>
    <t>Cadet, 32"</t>
  </si>
  <si>
    <t>6-amp</t>
  </si>
  <si>
    <t>5.5-amp</t>
  </si>
  <si>
    <t>Jointer</t>
  </si>
  <si>
    <t>Delta</t>
  </si>
  <si>
    <t>Shaper</t>
  </si>
  <si>
    <t>Toro</t>
  </si>
  <si>
    <t>28"</t>
  </si>
  <si>
    <t>3-amp</t>
  </si>
  <si>
    <t>54V</t>
  </si>
  <si>
    <t>9903 8.8-amp</t>
  </si>
  <si>
    <t>23D</t>
  </si>
  <si>
    <t>87S</t>
  </si>
  <si>
    <t>M18 FUEL</t>
  </si>
  <si>
    <t>Finish nailer</t>
  </si>
  <si>
    <t>20V</t>
  </si>
  <si>
    <t>ACME</t>
  </si>
  <si>
    <t>10-person</t>
  </si>
  <si>
    <t>705X</t>
  </si>
  <si>
    <t>355RP</t>
  </si>
  <si>
    <t>Not available</t>
  </si>
  <si>
    <t>Generic</t>
  </si>
  <si>
    <t>T100</t>
  </si>
  <si>
    <t>Chisle</t>
  </si>
  <si>
    <t>1.5"</t>
  </si>
  <si>
    <t>Category:</t>
  </si>
  <si>
    <t>Description:</t>
  </si>
  <si>
    <t>Brand:</t>
  </si>
  <si>
    <t>Size/Model:</t>
  </si>
  <si>
    <t>Cost per hr ($)</t>
  </si>
  <si>
    <t>Cost per day ($)</t>
  </si>
  <si>
    <t>Cost per week ($)</t>
  </si>
  <si>
    <t>Cost per hr:</t>
  </si>
  <si>
    <t>Cost per day:</t>
  </si>
  <si>
    <t>Cost per week:</t>
  </si>
  <si>
    <t>Quantity:</t>
  </si>
  <si>
    <t>Hand planer</t>
  </si>
  <si>
    <t>Planer</t>
  </si>
  <si>
    <t>12-amp/6"</t>
  </si>
  <si>
    <t>7.5-amp</t>
  </si>
  <si>
    <t>18-volt</t>
  </si>
  <si>
    <t>20-volt</t>
  </si>
  <si>
    <t>Werner</t>
  </si>
  <si>
    <t>8-foot</t>
  </si>
  <si>
    <t>24-foot</t>
  </si>
  <si>
    <t>Gorilla Ladders</t>
  </si>
  <si>
    <t>18-gauge</t>
  </si>
  <si>
    <t>*IMPORTANT: Do NOT remove any of the items from the inventory below!</t>
  </si>
  <si>
    <t>If you accidentally delete data, copy/paste from 'Original Data' tab</t>
  </si>
  <si>
    <t>If you add rows to test your solution, make sure to delete them prior to GRADING!</t>
  </si>
  <si>
    <t>--&gt; Begin all work in column J</t>
  </si>
  <si>
    <t>18-guage</t>
  </si>
  <si>
    <t>Category true?</t>
  </si>
  <si>
    <t>Description true?</t>
  </si>
  <si>
    <t>Both Cat &amp; des</t>
  </si>
  <si>
    <t>Brand true?</t>
  </si>
  <si>
    <t>Cat &amp; des &amp; brand</t>
  </si>
  <si>
    <t>size/model true?</t>
  </si>
  <si>
    <t>Cat &amp; des &amp; brand &amp; size/model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</si>
</sst>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2" fillId="0" borderId="0" xfId="0" applyFont="1" applyFill="1" applyBorder="1"/>
    <xf numFmtId="0" fontId="0" fillId="0" borderId="0" xfId="0" applyFont="1" applyFill="1" applyBorder="1"/>
    <xf numFmtId="44" fontId="0" fillId="0" borderId="0" xfId="1" applyNumberFormat="1" applyFont="1" applyFill="1" applyBorder="1"/>
    <xf numFmtId="0" fontId="0" fillId="0" borderId="0" xfId="1" applyNumberFormat="1" applyFont="1" applyFill="1" applyBorder="1"/>
    <xf numFmtId="0" fontId="2" fillId="0" borderId="0" xfId="0" quotePrefix="1" applyFont="1"/>
    <xf numFmtId="0" fontId="0" fillId="0" borderId="4" xfId="0" applyBorder="1"/>
    <xf numFmtId="44" fontId="0" fillId="0" borderId="0" xfId="1" applyFont="1" applyFill="1" applyBorder="1"/>
    <xf numFmtId="0" fontId="2" fillId="0" borderId="0" xfId="0" applyFont="1" applyAlignment="1">
      <alignment horizontal="center"/>
    </xf>
    <xf numFmtId="0" fontId="2" fillId="0" borderId="0" xfId="0" applyFont="1" applyBorder="1"/>
    <xf numFmtId="44" fontId="0" fillId="0" borderId="1" xfId="1" applyFont="1" applyBorder="1" applyAlignment="1">
      <alignment horizontal="right"/>
    </xf>
    <xf numFmtId="44" fontId="0" fillId="0" borderId="2" xfId="1" applyFont="1" applyBorder="1" applyAlignment="1">
      <alignment horizontal="right"/>
    </xf>
    <xf numFmtId="0" fontId="0" fillId="0" borderId="3" xfId="1" applyNumberFormat="1" applyFont="1" applyBorder="1" applyAlignment="1">
      <alignment horizontal="right"/>
    </xf>
  </cellXfs>
  <cellStyles count="2">
    <cellStyle name="Currency" xfId="1" builtinId="4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lie/Documents/MOOC%20Excel/Projects/Rental%20Center%20Inventory/Rental%20Center%20Inventory%20-%20WORK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Inventory"/>
      <sheetName val="Original Data"/>
    </sheetNames>
    <sheetDataSet>
      <sheetData sheetId="0">
        <row r="2">
          <cell r="C2" t="str">
            <v>Portable Power</v>
          </cell>
        </row>
        <row r="3">
          <cell r="C3" t="str">
            <v>-- Choose Description --</v>
          </cell>
        </row>
        <row r="4">
          <cell r="C4" t="str">
            <v>-- Choose Brand --</v>
          </cell>
        </row>
        <row r="5">
          <cell r="C5" t="str">
            <v>-- Choose Size/Model --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ECD84-0311-48A0-BEAA-0CC6E4F2320A}" name="Table1" displayName="Table1" ref="A5:H85" totalsRowShown="0" headerRowDxfId="9" dataDxfId="8" dataCellStyle="Currency">
  <autoFilter ref="A5:H85" xr:uid="{3FFECD84-0311-48A0-BEAA-0CC6E4F2320A}"/>
  <tableColumns count="8">
    <tableColumn id="1" xr3:uid="{8641E864-94CF-48C2-B7FD-35AF4BB0F32F}" name="Category" dataDxfId="7"/>
    <tableColumn id="2" xr3:uid="{2EDB98C8-D814-46D7-BB4A-5EE6779822CD}" name="Description" dataDxfId="6"/>
    <tableColumn id="3" xr3:uid="{A8D608BE-1CBF-4D6C-BB00-23081EEC9930}" name="Brand" dataDxfId="5"/>
    <tableColumn id="4" xr3:uid="{35CAD623-F300-4489-88FC-8413EB24F4B9}" name="Size/Model" dataDxfId="4"/>
    <tableColumn id="5" xr3:uid="{1A11012F-35D6-4665-9803-BAFBA6E40F43}" name="Cost per hr ($)" dataDxfId="3" dataCellStyle="Currency"/>
    <tableColumn id="6" xr3:uid="{5A7CDE90-3AEE-4438-B7EA-FB81CF3034DC}" name="Cost per day ($)" dataDxfId="2" dataCellStyle="Currency"/>
    <tableColumn id="7" xr3:uid="{9CB0985F-9472-4C1F-8A9A-8ABFC3EB45F1}" name="Cost per week ($)" dataDxfId="1" dataCellStyle="Currency"/>
    <tableColumn id="8" xr3:uid="{FE1274F0-4580-4D89-B878-352259DA46D1}" name="Quantity" dataDxfId="0" dataCellStyle="Currency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414DB-E71C-4C9A-A0E7-B535A30157DE}">
  <sheetPr codeName="Sheet1"/>
  <dimension ref="B2:C10"/>
  <sheetViews>
    <sheetView tabSelected="1" workbookViewId="0">
      <selection activeCell="G5" sqref="G5"/>
    </sheetView>
  </sheetViews>
  <sheetFormatPr defaultRowHeight="15" x14ac:dyDescent="0.25"/>
  <cols>
    <col min="3" max="3" width="22.85546875" customWidth="1"/>
  </cols>
  <sheetData>
    <row r="2" spans="2:3" x14ac:dyDescent="0.25">
      <c r="B2" s="2" t="s">
        <v>156</v>
      </c>
      <c r="C2" t="s">
        <v>12</v>
      </c>
    </row>
    <row r="3" spans="2:3" x14ac:dyDescent="0.25">
      <c r="B3" s="2" t="s">
        <v>157</v>
      </c>
      <c r="C3" t="s">
        <v>41</v>
      </c>
    </row>
    <row r="4" spans="2:3" x14ac:dyDescent="0.25">
      <c r="B4" s="2" t="s">
        <v>158</v>
      </c>
      <c r="C4" t="s">
        <v>42</v>
      </c>
    </row>
    <row r="5" spans="2:3" x14ac:dyDescent="0.25">
      <c r="B5" s="2" t="s">
        <v>159</v>
      </c>
      <c r="C5" t="s">
        <v>43</v>
      </c>
    </row>
    <row r="6" spans="2:3" ht="15.75" thickBot="1" x14ac:dyDescent="0.3"/>
    <row r="7" spans="2:3" x14ac:dyDescent="0.25">
      <c r="B7" s="3" t="s">
        <v>163</v>
      </c>
      <c r="C7" s="14">
        <f>IFERROR((Inventory!$W$3),"&lt; Reselect criteria &gt;")</f>
        <v>11.25</v>
      </c>
    </row>
    <row r="8" spans="2:3" x14ac:dyDescent="0.25">
      <c r="B8" s="3" t="s">
        <v>164</v>
      </c>
      <c r="C8" s="15">
        <f>IF(ISBLANK(Inventory!$X$3),"&lt; Reselect criteria &gt;",Inventory!$X$3)</f>
        <v>35.25</v>
      </c>
    </row>
    <row r="9" spans="2:3" x14ac:dyDescent="0.25">
      <c r="B9" s="3" t="s">
        <v>165</v>
      </c>
      <c r="C9" s="15">
        <f>IF(ISBLANK(Inventory!$Y$3),"&lt; Reselect criteria &gt;",Inventory!$Y$3)</f>
        <v>115</v>
      </c>
    </row>
    <row r="10" spans="2:3" ht="15.75" thickBot="1" x14ac:dyDescent="0.3">
      <c r="B10" s="4" t="s">
        <v>166</v>
      </c>
      <c r="C10" s="16">
        <f>IF(ISBLANK(Inventory!$Z$3),"&lt; Reselect criteria &gt;",Inventory!$Z$3)</f>
        <v>12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34C6F8A-8E46-4FF0-8B6B-5FCFC93BB03E}">
          <x14:formula1>
            <xm:f>_xlfn.ANCHORARRAY(Inventory!$K$3)</xm:f>
          </x14:formula1>
          <xm:sqref>C2</xm:sqref>
        </x14:dataValidation>
        <x14:dataValidation type="list" allowBlank="1" showInputMessage="1" showErrorMessage="1" xr:uid="{FB1D05D0-53A6-4121-ABA5-88EE9C025BD2}">
          <x14:formula1>
            <xm:f>_xlfn.ANCHORARRAY(Inventory!$L$3)</xm:f>
          </x14:formula1>
          <xm:sqref>C3</xm:sqref>
        </x14:dataValidation>
        <x14:dataValidation type="list" allowBlank="1" showInputMessage="1" showErrorMessage="1" xr:uid="{AA6FF792-36A3-47F7-A3C8-0807B79D2674}">
          <x14:formula1>
            <xm:f>_xlfn.ANCHORARRAY(Inventory!$S$3)</xm:f>
          </x14:formula1>
          <xm:sqref>C4</xm:sqref>
        </x14:dataValidation>
        <x14:dataValidation type="list" allowBlank="1" showInputMessage="1" showErrorMessage="1" xr:uid="{E6DFEF6B-D7FD-4928-AE36-39AB550ED8AE}">
          <x14:formula1>
            <xm:f>_xlfn.ANCHORARRAY(Inventory!$U$3)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1E5C5-BDEF-4B58-8DA5-AB1F25C784E5}">
  <sheetPr codeName="Sheet2"/>
  <dimension ref="A1:Z85"/>
  <sheetViews>
    <sheetView topLeftCell="Q1" workbookViewId="0">
      <selection activeCell="W3" sqref="W3"/>
    </sheetView>
  </sheetViews>
  <sheetFormatPr defaultRowHeight="15" x14ac:dyDescent="0.25"/>
  <cols>
    <col min="1" max="1" width="22.5703125" bestFit="1" customWidth="1"/>
    <col min="2" max="2" width="22.42578125" bestFit="1" customWidth="1"/>
    <col min="3" max="3" width="14.28515625" bestFit="1" customWidth="1"/>
    <col min="4" max="4" width="13.42578125" customWidth="1"/>
    <col min="5" max="5" width="15.5703125" customWidth="1"/>
    <col min="6" max="6" width="16.85546875" customWidth="1"/>
    <col min="7" max="7" width="18.5703125" customWidth="1"/>
    <col min="8" max="8" width="10.85546875" customWidth="1"/>
    <col min="9" max="9" width="9" style="10"/>
    <col min="11" max="11" width="28.28515625" customWidth="1"/>
    <col min="12" max="12" width="18.85546875" customWidth="1"/>
    <col min="14" max="14" width="16.42578125" customWidth="1"/>
    <col min="15" max="17" width="19.7109375" customWidth="1"/>
    <col min="18" max="18" width="17.85546875" customWidth="1"/>
    <col min="19" max="19" width="20.5703125" customWidth="1"/>
    <col min="20" max="20" width="18.42578125" customWidth="1"/>
    <col min="21" max="21" width="17.28515625" customWidth="1"/>
    <col min="22" max="22" width="30" customWidth="1"/>
    <col min="23" max="23" width="13.5703125" customWidth="1"/>
    <col min="24" max="24" width="14.28515625" customWidth="1"/>
    <col min="25" max="25" width="17" customWidth="1"/>
  </cols>
  <sheetData>
    <row r="1" spans="1:26" x14ac:dyDescent="0.25">
      <c r="A1" s="1" t="s">
        <v>0</v>
      </c>
      <c r="C1" t="s">
        <v>178</v>
      </c>
      <c r="J1" s="9" t="s">
        <v>181</v>
      </c>
    </row>
    <row r="2" spans="1:26" x14ac:dyDescent="0.25">
      <c r="C2" t="s">
        <v>179</v>
      </c>
      <c r="K2" s="12" t="s">
        <v>1</v>
      </c>
      <c r="L2" s="12" t="s">
        <v>4</v>
      </c>
      <c r="M2" s="1"/>
      <c r="N2" s="1" t="s">
        <v>183</v>
      </c>
      <c r="O2" s="1" t="s">
        <v>184</v>
      </c>
      <c r="P2" s="1" t="s">
        <v>186</v>
      </c>
      <c r="Q2" s="1" t="s">
        <v>188</v>
      </c>
      <c r="R2" s="1" t="s">
        <v>185</v>
      </c>
      <c r="S2" s="1" t="s">
        <v>2</v>
      </c>
      <c r="T2" s="1" t="s">
        <v>187</v>
      </c>
      <c r="U2" s="12" t="s">
        <v>159</v>
      </c>
      <c r="V2" s="1" t="s">
        <v>189</v>
      </c>
      <c r="W2" s="13" t="s">
        <v>160</v>
      </c>
      <c r="X2" s="13" t="s">
        <v>161</v>
      </c>
      <c r="Y2" s="13" t="s">
        <v>162</v>
      </c>
      <c r="Z2" s="13" t="s">
        <v>30</v>
      </c>
    </row>
    <row r="3" spans="1:26" x14ac:dyDescent="0.25">
      <c r="C3" t="s">
        <v>180</v>
      </c>
      <c r="K3" t="str" cm="1">
        <f t="array" ref="K3:K16">_xlfn._xlws.SORT(_xlfn.UNIQUE(Table1[Category],FALSE,FALSE))</f>
        <v>Air compressors and nailers</v>
      </c>
      <c r="L3" t="str" cm="1">
        <f t="array" ref="L3:L5">_xlfn._xlws.SORT(_xlfn.UNIQUE(_xlfn._xlws.FILTER(Table1[Description],Table1[Category]=Dashboard!$C$2)))</f>
        <v>Ladder</v>
      </c>
      <c r="N3" t="b" cm="1">
        <f t="array" ref="N3:N82">Table1[Category]=Dashboard!$C$2</f>
        <v>0</v>
      </c>
      <c r="O3" t="b" cm="1">
        <f t="array" ref="O3:O82">Table1[Description]=Dashboard!$C$3</f>
        <v>0</v>
      </c>
      <c r="P3" t="b" cm="1">
        <f t="array" ref="P3:P82">Table1[Brand]=Dashboard!$C$4</f>
        <v>0</v>
      </c>
      <c r="Q3" t="b" cm="1">
        <f t="array" ref="Q3:Q82">Table1[Size/Model]=Dashboard!$C$5</f>
        <v>0</v>
      </c>
      <c r="R3" cm="1">
        <f t="array" ref="R3:R82">_xlfn.ANCHORARRAY(N3)*_xlfn.ANCHORARRAY(O3)</f>
        <v>0</v>
      </c>
      <c r="S3" t="str" cm="1">
        <f t="array" ref="S3">_xlfn._xlws.SORT(_xlfn.UNIQUE(_xlfn._xlws.FILTER(Table1[Brand],_xlfn.ANCHORARRAY(R3)=1)))</f>
        <v>MetalTech</v>
      </c>
      <c r="T3" cm="1">
        <f t="array" ref="T3:T82">_xlfn.ANCHORARRAY(N3)*_xlfn.ANCHORARRAY(O3)*_xlfn.ANCHORARRAY(P3)</f>
        <v>0</v>
      </c>
      <c r="U3" t="str" cm="1">
        <f t="array" ref="U3">_xlfn._xlws.SORT(_xlfn.UNIQUE(_xlfn._xlws.FILTER(Table1[Size/Model],_xlfn.ANCHORARRAY(T3)=1)))</f>
        <v>1 set, 5' x 7'</v>
      </c>
      <c r="V3" cm="1">
        <f t="array" ref="V3:V82">_xlfn.ANCHORARRAY(N3)*_xlfn.ANCHORARRAY(O3)*_xlfn.ANCHORARRAY(P3)*_xlfn.ANCHORARRAY(Q3)</f>
        <v>0</v>
      </c>
      <c r="W3" cm="1">
        <f t="array" ref="W3:Z3">_xlfn._xlws.FILTER(Table1[[Cost per hr ($)]:[Quantity]],_xlfn.ANCHORARRAY(V3)=1)</f>
        <v>11.25</v>
      </c>
      <c r="X3">
        <v>35.25</v>
      </c>
      <c r="Y3">
        <v>115</v>
      </c>
      <c r="Z3">
        <v>12</v>
      </c>
    </row>
    <row r="4" spans="1:26" x14ac:dyDescent="0.25">
      <c r="K4" t="str">
        <v>Carpet cleaning</v>
      </c>
      <c r="L4" t="str">
        <v>Metal scaffolding</v>
      </c>
      <c r="N4" t="b">
        <v>0</v>
      </c>
      <c r="O4" t="b">
        <v>0</v>
      </c>
      <c r="P4" t="b">
        <v>0</v>
      </c>
      <c r="Q4" t="b">
        <v>0</v>
      </c>
      <c r="R4">
        <v>0</v>
      </c>
      <c r="T4">
        <v>0</v>
      </c>
      <c r="V4">
        <v>0</v>
      </c>
    </row>
    <row r="5" spans="1:26" x14ac:dyDescent="0.25">
      <c r="A5" s="5" t="s">
        <v>1</v>
      </c>
      <c r="B5" s="5" t="s">
        <v>4</v>
      </c>
      <c r="C5" s="5" t="s">
        <v>2</v>
      </c>
      <c r="D5" s="5" t="s">
        <v>26</v>
      </c>
      <c r="E5" s="5" t="s">
        <v>160</v>
      </c>
      <c r="F5" s="5" t="s">
        <v>161</v>
      </c>
      <c r="G5" s="5" t="s">
        <v>162</v>
      </c>
      <c r="H5" s="5" t="s">
        <v>30</v>
      </c>
      <c r="K5" t="str">
        <v>Chairs and tables</v>
      </c>
      <c r="L5" t="str">
        <v>Safety platform</v>
      </c>
      <c r="N5" t="b">
        <v>1</v>
      </c>
      <c r="O5" t="b">
        <v>0</v>
      </c>
      <c r="P5" t="b">
        <v>0</v>
      </c>
      <c r="Q5" t="b">
        <v>0</v>
      </c>
      <c r="R5">
        <v>0</v>
      </c>
      <c r="T5">
        <v>0</v>
      </c>
      <c r="V5">
        <v>0</v>
      </c>
    </row>
    <row r="6" spans="1:26" x14ac:dyDescent="0.25">
      <c r="A6" s="6" t="s">
        <v>3</v>
      </c>
      <c r="B6" s="6" t="s">
        <v>9</v>
      </c>
      <c r="C6" s="6" t="s">
        <v>10</v>
      </c>
      <c r="D6" s="6" t="s">
        <v>11</v>
      </c>
      <c r="E6" s="7">
        <v>12.45</v>
      </c>
      <c r="F6" s="7">
        <v>42.5</v>
      </c>
      <c r="G6" s="7">
        <v>125</v>
      </c>
      <c r="H6" s="8">
        <v>3</v>
      </c>
      <c r="K6" t="str">
        <v>Cleaning and polishing</v>
      </c>
      <c r="N6" t="b">
        <v>0</v>
      </c>
      <c r="O6" t="b">
        <v>0</v>
      </c>
      <c r="P6" t="b">
        <v>0</v>
      </c>
      <c r="Q6" t="b">
        <v>0</v>
      </c>
      <c r="R6">
        <v>0</v>
      </c>
      <c r="T6">
        <v>0</v>
      </c>
      <c r="V6">
        <v>0</v>
      </c>
    </row>
    <row r="7" spans="1:26" x14ac:dyDescent="0.25">
      <c r="A7" s="6" t="s">
        <v>5</v>
      </c>
      <c r="B7" s="6" t="s">
        <v>6</v>
      </c>
      <c r="C7" s="6" t="s">
        <v>7</v>
      </c>
      <c r="D7" s="6" t="s">
        <v>8</v>
      </c>
      <c r="E7" s="7">
        <v>8.25</v>
      </c>
      <c r="F7" s="7">
        <v>34.5</v>
      </c>
      <c r="G7" s="7">
        <v>109</v>
      </c>
      <c r="H7" s="8">
        <v>2</v>
      </c>
      <c r="K7" t="str">
        <v>Concrete and foundations</v>
      </c>
      <c r="N7" t="b">
        <v>0</v>
      </c>
      <c r="O7" t="b">
        <v>0</v>
      </c>
      <c r="P7" t="b">
        <v>0</v>
      </c>
      <c r="Q7" t="b">
        <v>0</v>
      </c>
      <c r="R7">
        <v>0</v>
      </c>
      <c r="T7">
        <v>0</v>
      </c>
      <c r="V7">
        <v>0</v>
      </c>
    </row>
    <row r="8" spans="1:26" x14ac:dyDescent="0.25">
      <c r="A8" s="6" t="s">
        <v>12</v>
      </c>
      <c r="B8" s="6" t="s">
        <v>13</v>
      </c>
      <c r="C8" s="6" t="s">
        <v>14</v>
      </c>
      <c r="D8" s="6" t="s">
        <v>15</v>
      </c>
      <c r="E8" s="7">
        <v>7.25</v>
      </c>
      <c r="F8" s="7">
        <v>29.5</v>
      </c>
      <c r="G8" s="7">
        <v>95</v>
      </c>
      <c r="H8" s="8">
        <v>1</v>
      </c>
      <c r="K8" t="str">
        <v>Excavating Equipment</v>
      </c>
      <c r="N8" t="b">
        <v>0</v>
      </c>
      <c r="O8" t="b">
        <v>0</v>
      </c>
      <c r="P8" t="b">
        <v>0</v>
      </c>
      <c r="Q8" t="b">
        <v>0</v>
      </c>
      <c r="R8">
        <v>0</v>
      </c>
      <c r="T8">
        <v>0</v>
      </c>
      <c r="V8">
        <v>0</v>
      </c>
    </row>
    <row r="9" spans="1:26" x14ac:dyDescent="0.25">
      <c r="A9" s="6" t="s">
        <v>16</v>
      </c>
      <c r="B9" s="6" t="s">
        <v>17</v>
      </c>
      <c r="C9" s="6" t="s">
        <v>20</v>
      </c>
      <c r="D9" s="6" t="s">
        <v>18</v>
      </c>
      <c r="E9" s="7">
        <v>3.25</v>
      </c>
      <c r="F9" s="7">
        <v>12.5</v>
      </c>
      <c r="G9" s="7">
        <v>24.75</v>
      </c>
      <c r="H9" s="8">
        <v>50</v>
      </c>
      <c r="K9" t="str">
        <v>Hand Tools</v>
      </c>
      <c r="N9" t="b">
        <v>0</v>
      </c>
      <c r="O9" t="b">
        <v>0</v>
      </c>
      <c r="P9" t="b">
        <v>0</v>
      </c>
      <c r="Q9" t="b">
        <v>0</v>
      </c>
      <c r="R9">
        <v>0</v>
      </c>
      <c r="T9">
        <v>0</v>
      </c>
      <c r="V9">
        <v>0</v>
      </c>
    </row>
    <row r="10" spans="1:26" x14ac:dyDescent="0.25">
      <c r="A10" s="6" t="s">
        <v>16</v>
      </c>
      <c r="B10" s="6" t="s">
        <v>19</v>
      </c>
      <c r="C10" s="6" t="s">
        <v>20</v>
      </c>
      <c r="D10" s="6" t="s">
        <v>21</v>
      </c>
      <c r="E10" s="7">
        <v>6.95</v>
      </c>
      <c r="F10" s="7">
        <v>29.75</v>
      </c>
      <c r="G10" s="7">
        <v>87.5</v>
      </c>
      <c r="H10" s="8">
        <v>20</v>
      </c>
      <c r="K10" t="str">
        <v>Ladders and scaffolding</v>
      </c>
      <c r="N10" t="b">
        <v>0</v>
      </c>
      <c r="O10" t="b">
        <v>0</v>
      </c>
      <c r="P10" t="b">
        <v>0</v>
      </c>
      <c r="Q10" t="b">
        <v>0</v>
      </c>
      <c r="R10">
        <v>0</v>
      </c>
      <c r="T10">
        <v>0</v>
      </c>
      <c r="V10">
        <v>0</v>
      </c>
    </row>
    <row r="11" spans="1:26" x14ac:dyDescent="0.25">
      <c r="A11" s="6" t="s">
        <v>5</v>
      </c>
      <c r="B11" s="6" t="s">
        <v>22</v>
      </c>
      <c r="C11" s="6" t="s">
        <v>23</v>
      </c>
      <c r="D11" s="6" t="s">
        <v>18</v>
      </c>
      <c r="E11" s="7">
        <v>1.75</v>
      </c>
      <c r="F11" s="7">
        <v>7.5</v>
      </c>
      <c r="G11" s="7">
        <v>19.25</v>
      </c>
      <c r="H11" s="8">
        <v>5</v>
      </c>
      <c r="K11" t="str">
        <v>Lawn and garden</v>
      </c>
      <c r="N11" t="b">
        <v>0</v>
      </c>
      <c r="O11" t="b">
        <v>0</v>
      </c>
      <c r="P11" t="b">
        <v>0</v>
      </c>
      <c r="Q11" t="b">
        <v>0</v>
      </c>
      <c r="R11">
        <v>0</v>
      </c>
      <c r="T11">
        <v>0</v>
      </c>
      <c r="V11">
        <v>0</v>
      </c>
    </row>
    <row r="12" spans="1:26" x14ac:dyDescent="0.25">
      <c r="A12" s="6" t="s">
        <v>3</v>
      </c>
      <c r="B12" s="6" t="s">
        <v>72</v>
      </c>
      <c r="C12" s="6" t="s">
        <v>124</v>
      </c>
      <c r="D12" s="6" t="s">
        <v>73</v>
      </c>
      <c r="E12" s="7">
        <v>10.75</v>
      </c>
      <c r="F12" s="7">
        <v>38.75</v>
      </c>
      <c r="G12" s="7">
        <v>123</v>
      </c>
      <c r="H12" s="8">
        <v>2</v>
      </c>
      <c r="K12" t="str">
        <v>Portable Power</v>
      </c>
      <c r="N12" t="b">
        <v>0</v>
      </c>
      <c r="O12" t="b">
        <v>0</v>
      </c>
      <c r="P12" t="b">
        <v>0</v>
      </c>
      <c r="Q12" t="b">
        <v>0</v>
      </c>
      <c r="R12">
        <v>0</v>
      </c>
      <c r="T12">
        <v>0</v>
      </c>
      <c r="V12">
        <v>0</v>
      </c>
    </row>
    <row r="13" spans="1:26" x14ac:dyDescent="0.25">
      <c r="A13" s="6" t="s">
        <v>24</v>
      </c>
      <c r="B13" s="6" t="s">
        <v>58</v>
      </c>
      <c r="C13" s="6" t="s">
        <v>25</v>
      </c>
      <c r="D13" s="6" t="s">
        <v>27</v>
      </c>
      <c r="E13" s="7">
        <v>35.75</v>
      </c>
      <c r="F13" s="7">
        <v>125</v>
      </c>
      <c r="G13" s="7">
        <v>375</v>
      </c>
      <c r="H13" s="8">
        <v>2</v>
      </c>
      <c r="K13" t="str">
        <v>Power Tools</v>
      </c>
      <c r="N13" t="b">
        <v>0</v>
      </c>
      <c r="O13" t="b">
        <v>0</v>
      </c>
      <c r="P13" t="b">
        <v>0</v>
      </c>
      <c r="Q13" t="b">
        <v>0</v>
      </c>
      <c r="R13">
        <v>0</v>
      </c>
      <c r="T13">
        <v>0</v>
      </c>
      <c r="V13">
        <v>0</v>
      </c>
    </row>
    <row r="14" spans="1:26" x14ac:dyDescent="0.25">
      <c r="A14" s="6" t="s">
        <v>24</v>
      </c>
      <c r="B14" s="6" t="s">
        <v>28</v>
      </c>
      <c r="C14" s="6" t="s">
        <v>25</v>
      </c>
      <c r="D14" s="6" t="s">
        <v>29</v>
      </c>
      <c r="E14" s="7">
        <v>42.5</v>
      </c>
      <c r="F14" s="7">
        <v>139</v>
      </c>
      <c r="G14" s="7">
        <v>408</v>
      </c>
      <c r="H14" s="8">
        <v>1</v>
      </c>
      <c r="K14" t="str">
        <v>Sanding and finishing</v>
      </c>
      <c r="N14" t="b">
        <v>0</v>
      </c>
      <c r="O14" t="b">
        <v>0</v>
      </c>
      <c r="P14" t="b">
        <v>0</v>
      </c>
      <c r="Q14" t="b">
        <v>0</v>
      </c>
      <c r="R14">
        <v>0</v>
      </c>
      <c r="T14">
        <v>0</v>
      </c>
      <c r="V14">
        <v>0</v>
      </c>
    </row>
    <row r="15" spans="1:26" x14ac:dyDescent="0.25">
      <c r="A15" s="6" t="s">
        <v>3</v>
      </c>
      <c r="B15" s="6" t="s">
        <v>88</v>
      </c>
      <c r="C15" s="6" t="s">
        <v>10</v>
      </c>
      <c r="D15" s="6" t="s">
        <v>146</v>
      </c>
      <c r="E15" s="7">
        <v>9.75</v>
      </c>
      <c r="F15" s="7">
        <v>35.5</v>
      </c>
      <c r="G15" s="7">
        <v>113</v>
      </c>
      <c r="H15" s="8">
        <v>3</v>
      </c>
      <c r="K15" t="str">
        <v>Tents and gazebos</v>
      </c>
      <c r="N15" t="b">
        <v>0</v>
      </c>
      <c r="O15" t="b">
        <v>0</v>
      </c>
      <c r="P15" t="b">
        <v>0</v>
      </c>
      <c r="Q15" t="b">
        <v>0</v>
      </c>
      <c r="R15">
        <v>0</v>
      </c>
      <c r="T15">
        <v>0</v>
      </c>
      <c r="V15">
        <v>0</v>
      </c>
    </row>
    <row r="16" spans="1:26" x14ac:dyDescent="0.25">
      <c r="A16" s="6" t="s">
        <v>31</v>
      </c>
      <c r="B16" s="6" t="s">
        <v>32</v>
      </c>
      <c r="C16" s="6" t="s">
        <v>33</v>
      </c>
      <c r="D16" s="6" t="s">
        <v>34</v>
      </c>
      <c r="E16" s="7" t="s">
        <v>151</v>
      </c>
      <c r="F16" s="7">
        <v>125</v>
      </c>
      <c r="G16" s="7">
        <v>425</v>
      </c>
      <c r="H16" s="8">
        <v>2</v>
      </c>
      <c r="K16" t="str">
        <v>Woodworking tools</v>
      </c>
      <c r="N16" t="b">
        <v>0</v>
      </c>
      <c r="O16" t="b">
        <v>0</v>
      </c>
      <c r="P16" t="b">
        <v>0</v>
      </c>
      <c r="Q16" t="b">
        <v>0</v>
      </c>
      <c r="R16">
        <v>0</v>
      </c>
      <c r="T16">
        <v>0</v>
      </c>
      <c r="V16">
        <v>0</v>
      </c>
    </row>
    <row r="17" spans="1:22" x14ac:dyDescent="0.25">
      <c r="A17" s="6" t="s">
        <v>31</v>
      </c>
      <c r="B17" s="6" t="s">
        <v>32</v>
      </c>
      <c r="C17" s="6" t="s">
        <v>33</v>
      </c>
      <c r="D17" s="6" t="s">
        <v>35</v>
      </c>
      <c r="E17" s="7" t="s">
        <v>151</v>
      </c>
      <c r="F17" s="7">
        <v>75</v>
      </c>
      <c r="G17" s="7">
        <v>230</v>
      </c>
      <c r="H17" s="8">
        <v>1</v>
      </c>
      <c r="N17" t="b">
        <v>0</v>
      </c>
      <c r="O17" t="b">
        <v>0</v>
      </c>
      <c r="P17" t="b">
        <v>0</v>
      </c>
      <c r="Q17" t="b">
        <v>0</v>
      </c>
      <c r="R17">
        <v>0</v>
      </c>
      <c r="T17">
        <v>0</v>
      </c>
      <c r="V17">
        <v>0</v>
      </c>
    </row>
    <row r="18" spans="1:22" x14ac:dyDescent="0.25">
      <c r="A18" s="6" t="s">
        <v>31</v>
      </c>
      <c r="B18" s="6" t="s">
        <v>32</v>
      </c>
      <c r="C18" s="6" t="s">
        <v>33</v>
      </c>
      <c r="D18" s="6" t="s">
        <v>36</v>
      </c>
      <c r="E18" s="7" t="s">
        <v>151</v>
      </c>
      <c r="F18" s="7">
        <v>195</v>
      </c>
      <c r="G18" s="7">
        <v>645</v>
      </c>
      <c r="H18" s="8">
        <v>1</v>
      </c>
      <c r="N18" t="b">
        <v>0</v>
      </c>
      <c r="O18" t="b">
        <v>0</v>
      </c>
      <c r="P18" t="b">
        <v>0</v>
      </c>
      <c r="Q18" t="b">
        <v>0</v>
      </c>
      <c r="R18">
        <v>0</v>
      </c>
      <c r="T18">
        <v>0</v>
      </c>
      <c r="V18">
        <v>0</v>
      </c>
    </row>
    <row r="19" spans="1:22" x14ac:dyDescent="0.25">
      <c r="A19" s="6" t="s">
        <v>24</v>
      </c>
      <c r="B19" s="6" t="s">
        <v>58</v>
      </c>
      <c r="C19" s="6" t="s">
        <v>25</v>
      </c>
      <c r="D19" s="6" t="s">
        <v>59</v>
      </c>
      <c r="E19" s="7">
        <v>54</v>
      </c>
      <c r="F19" s="7">
        <v>175</v>
      </c>
      <c r="G19" s="7">
        <v>525</v>
      </c>
      <c r="H19" s="8">
        <v>2</v>
      </c>
      <c r="N19" t="b">
        <v>0</v>
      </c>
      <c r="O19" t="b">
        <v>0</v>
      </c>
      <c r="P19" t="b">
        <v>0</v>
      </c>
      <c r="Q19" t="b">
        <v>0</v>
      </c>
      <c r="R19">
        <v>0</v>
      </c>
      <c r="T19">
        <v>0</v>
      </c>
      <c r="V19">
        <v>0</v>
      </c>
    </row>
    <row r="20" spans="1:22" x14ac:dyDescent="0.25">
      <c r="A20" s="6" t="s">
        <v>24</v>
      </c>
      <c r="B20" s="6" t="s">
        <v>58</v>
      </c>
      <c r="C20" s="6" t="s">
        <v>57</v>
      </c>
      <c r="D20" s="6" t="s">
        <v>60</v>
      </c>
      <c r="E20" s="7">
        <v>42.5</v>
      </c>
      <c r="F20" s="7">
        <v>160</v>
      </c>
      <c r="G20" s="7">
        <v>475</v>
      </c>
      <c r="H20" s="8">
        <v>1</v>
      </c>
      <c r="N20" t="b">
        <v>1</v>
      </c>
      <c r="O20" t="b">
        <v>1</v>
      </c>
      <c r="P20" t="b">
        <v>1</v>
      </c>
      <c r="Q20" t="b">
        <v>1</v>
      </c>
      <c r="R20">
        <v>1</v>
      </c>
      <c r="T20">
        <v>1</v>
      </c>
      <c r="V20">
        <v>1</v>
      </c>
    </row>
    <row r="21" spans="1:22" x14ac:dyDescent="0.25">
      <c r="A21" s="6" t="s">
        <v>37</v>
      </c>
      <c r="B21" s="6" t="s">
        <v>38</v>
      </c>
      <c r="C21" s="6" t="s">
        <v>74</v>
      </c>
      <c r="D21" s="6" t="s">
        <v>149</v>
      </c>
      <c r="E21" s="7">
        <v>15.25</v>
      </c>
      <c r="F21" s="7">
        <v>45.75</v>
      </c>
      <c r="G21" s="7">
        <v>150</v>
      </c>
      <c r="H21" s="8">
        <v>2</v>
      </c>
      <c r="N21" t="b">
        <v>1</v>
      </c>
      <c r="O21" t="b">
        <v>0</v>
      </c>
      <c r="P21" t="b">
        <v>1</v>
      </c>
      <c r="Q21" t="b">
        <v>0</v>
      </c>
      <c r="R21">
        <v>0</v>
      </c>
      <c r="T21">
        <v>0</v>
      </c>
      <c r="V21">
        <v>0</v>
      </c>
    </row>
    <row r="22" spans="1:22" x14ac:dyDescent="0.25">
      <c r="A22" s="6" t="s">
        <v>39</v>
      </c>
      <c r="B22" s="6" t="s">
        <v>40</v>
      </c>
      <c r="C22" s="6" t="s">
        <v>74</v>
      </c>
      <c r="D22" s="6" t="s">
        <v>150</v>
      </c>
      <c r="E22" s="7">
        <v>16.75</v>
      </c>
      <c r="F22" s="7">
        <v>49.5</v>
      </c>
      <c r="G22" s="7">
        <v>165</v>
      </c>
      <c r="H22" s="8">
        <v>3</v>
      </c>
      <c r="N22" t="b">
        <v>0</v>
      </c>
      <c r="O22" t="b">
        <v>0</v>
      </c>
      <c r="P22" t="b">
        <v>0</v>
      </c>
      <c r="Q22" t="b">
        <v>0</v>
      </c>
      <c r="R22">
        <v>0</v>
      </c>
      <c r="T22">
        <v>0</v>
      </c>
      <c r="V22">
        <v>0</v>
      </c>
    </row>
    <row r="23" spans="1:22" x14ac:dyDescent="0.25">
      <c r="A23" s="6" t="s">
        <v>12</v>
      </c>
      <c r="B23" s="6" t="s">
        <v>41</v>
      </c>
      <c r="C23" s="6" t="s">
        <v>42</v>
      </c>
      <c r="D23" s="6" t="s">
        <v>43</v>
      </c>
      <c r="E23" s="7">
        <v>11.25</v>
      </c>
      <c r="F23" s="7">
        <v>35.25</v>
      </c>
      <c r="G23" s="7">
        <v>115</v>
      </c>
      <c r="H23" s="8">
        <v>12</v>
      </c>
      <c r="N23" t="b">
        <v>0</v>
      </c>
      <c r="O23" t="b">
        <v>0</v>
      </c>
      <c r="P23" t="b">
        <v>0</v>
      </c>
      <c r="Q23" t="b">
        <v>0</v>
      </c>
      <c r="R23">
        <v>0</v>
      </c>
      <c r="T23">
        <v>0</v>
      </c>
      <c r="V23">
        <v>0</v>
      </c>
    </row>
    <row r="24" spans="1:22" x14ac:dyDescent="0.25">
      <c r="A24" s="6" t="s">
        <v>12</v>
      </c>
      <c r="B24" s="6" t="s">
        <v>44</v>
      </c>
      <c r="C24" s="6" t="s">
        <v>42</v>
      </c>
      <c r="D24" s="6" t="s">
        <v>45</v>
      </c>
      <c r="E24" s="7">
        <v>9.75</v>
      </c>
      <c r="F24" s="7">
        <v>27.5</v>
      </c>
      <c r="G24" s="7">
        <v>95</v>
      </c>
      <c r="H24" s="8">
        <v>3</v>
      </c>
      <c r="N24" t="b">
        <v>0</v>
      </c>
      <c r="O24" t="b">
        <v>0</v>
      </c>
      <c r="P24" t="b">
        <v>0</v>
      </c>
      <c r="Q24" t="b">
        <v>0</v>
      </c>
      <c r="R24">
        <v>0</v>
      </c>
      <c r="T24">
        <v>0</v>
      </c>
      <c r="V24">
        <v>0</v>
      </c>
    </row>
    <row r="25" spans="1:22" x14ac:dyDescent="0.25">
      <c r="A25" s="6" t="s">
        <v>3</v>
      </c>
      <c r="B25" s="6" t="s">
        <v>46</v>
      </c>
      <c r="C25" s="6" t="s">
        <v>124</v>
      </c>
      <c r="D25" s="6" t="s">
        <v>49</v>
      </c>
      <c r="E25" s="7">
        <v>8.75</v>
      </c>
      <c r="F25" s="7">
        <v>34.5</v>
      </c>
      <c r="G25" s="7">
        <v>110</v>
      </c>
      <c r="H25" s="8">
        <v>1</v>
      </c>
      <c r="N25" t="b">
        <v>0</v>
      </c>
      <c r="O25" t="b">
        <v>0</v>
      </c>
      <c r="P25" t="b">
        <v>0</v>
      </c>
      <c r="Q25" t="b">
        <v>0</v>
      </c>
      <c r="R25">
        <v>0</v>
      </c>
      <c r="T25">
        <v>0</v>
      </c>
      <c r="V25">
        <v>0</v>
      </c>
    </row>
    <row r="26" spans="1:22" x14ac:dyDescent="0.25">
      <c r="A26" s="6" t="s">
        <v>3</v>
      </c>
      <c r="B26" s="6" t="s">
        <v>46</v>
      </c>
      <c r="C26" s="6" t="s">
        <v>124</v>
      </c>
      <c r="D26" s="6" t="s">
        <v>50</v>
      </c>
      <c r="E26" s="7">
        <v>10.25</v>
      </c>
      <c r="F26" s="7">
        <v>38.75</v>
      </c>
      <c r="G26" s="7">
        <v>129.75</v>
      </c>
      <c r="H26" s="8">
        <v>2</v>
      </c>
      <c r="N26" t="b">
        <v>0</v>
      </c>
      <c r="O26" t="b">
        <v>0</v>
      </c>
      <c r="P26" t="b">
        <v>0</v>
      </c>
      <c r="Q26" t="b">
        <v>0</v>
      </c>
      <c r="R26">
        <v>0</v>
      </c>
      <c r="T26">
        <v>0</v>
      </c>
      <c r="V26">
        <v>0</v>
      </c>
    </row>
    <row r="27" spans="1:22" x14ac:dyDescent="0.25">
      <c r="A27" s="6" t="s">
        <v>3</v>
      </c>
      <c r="B27" s="6" t="s">
        <v>46</v>
      </c>
      <c r="C27" s="6" t="s">
        <v>51</v>
      </c>
      <c r="D27" s="6" t="s">
        <v>52</v>
      </c>
      <c r="E27" s="7">
        <v>9.75</v>
      </c>
      <c r="F27" s="7">
        <v>36.5</v>
      </c>
      <c r="G27" s="7">
        <v>120</v>
      </c>
      <c r="H27" s="8">
        <v>1</v>
      </c>
      <c r="N27" t="b">
        <v>0</v>
      </c>
      <c r="O27" t="b">
        <v>0</v>
      </c>
      <c r="P27" t="b">
        <v>0</v>
      </c>
      <c r="Q27" t="b">
        <v>0</v>
      </c>
      <c r="R27">
        <v>0</v>
      </c>
      <c r="T27">
        <v>0</v>
      </c>
      <c r="V27">
        <v>0</v>
      </c>
    </row>
    <row r="28" spans="1:22" x14ac:dyDescent="0.25">
      <c r="A28" s="6" t="s">
        <v>24</v>
      </c>
      <c r="B28" s="6" t="s">
        <v>53</v>
      </c>
      <c r="C28" s="6" t="s">
        <v>25</v>
      </c>
      <c r="D28" s="6" t="s">
        <v>54</v>
      </c>
      <c r="E28" s="7">
        <v>85</v>
      </c>
      <c r="F28" s="7">
        <v>250</v>
      </c>
      <c r="G28" s="7">
        <v>875</v>
      </c>
      <c r="H28" s="8">
        <v>1</v>
      </c>
      <c r="N28" t="b">
        <v>0</v>
      </c>
      <c r="O28" t="b">
        <v>0</v>
      </c>
      <c r="P28" t="b">
        <v>0</v>
      </c>
      <c r="Q28" t="b">
        <v>0</v>
      </c>
      <c r="R28">
        <v>0</v>
      </c>
      <c r="T28">
        <v>0</v>
      </c>
      <c r="V28">
        <v>0</v>
      </c>
    </row>
    <row r="29" spans="1:22" x14ac:dyDescent="0.25">
      <c r="A29" s="6" t="s">
        <v>24</v>
      </c>
      <c r="B29" s="6" t="s">
        <v>55</v>
      </c>
      <c r="C29" s="6" t="s">
        <v>25</v>
      </c>
      <c r="D29" s="6" t="s">
        <v>56</v>
      </c>
      <c r="E29" s="7">
        <v>125</v>
      </c>
      <c r="F29" s="7">
        <v>375</v>
      </c>
      <c r="G29" s="7">
        <v>1175</v>
      </c>
      <c r="H29" s="8">
        <v>1</v>
      </c>
      <c r="N29" t="b">
        <v>0</v>
      </c>
      <c r="O29" t="b">
        <v>0</v>
      </c>
      <c r="P29" t="b">
        <v>0</v>
      </c>
      <c r="Q29" t="b">
        <v>0</v>
      </c>
      <c r="R29">
        <v>0</v>
      </c>
      <c r="T29">
        <v>0</v>
      </c>
      <c r="V29">
        <v>0</v>
      </c>
    </row>
    <row r="30" spans="1:22" x14ac:dyDescent="0.25">
      <c r="A30" s="6" t="s">
        <v>24</v>
      </c>
      <c r="B30" s="6" t="s">
        <v>61</v>
      </c>
      <c r="C30" s="6" t="s">
        <v>57</v>
      </c>
      <c r="D30" s="6" t="s">
        <v>62</v>
      </c>
      <c r="E30" s="7">
        <v>45</v>
      </c>
      <c r="F30" s="7">
        <v>175</v>
      </c>
      <c r="G30" s="7">
        <v>525</v>
      </c>
      <c r="H30" s="8">
        <v>2</v>
      </c>
      <c r="N30" t="b">
        <v>0</v>
      </c>
      <c r="O30" t="b">
        <v>0</v>
      </c>
      <c r="P30" t="b">
        <v>0</v>
      </c>
      <c r="Q30" t="b">
        <v>0</v>
      </c>
      <c r="R30">
        <v>0</v>
      </c>
      <c r="T30">
        <v>0</v>
      </c>
      <c r="V30">
        <v>0</v>
      </c>
    </row>
    <row r="31" spans="1:22" x14ac:dyDescent="0.25">
      <c r="A31" s="6" t="s">
        <v>39</v>
      </c>
      <c r="B31" s="6" t="s">
        <v>65</v>
      </c>
      <c r="C31" s="6" t="s">
        <v>10</v>
      </c>
      <c r="D31" s="6" t="s">
        <v>139</v>
      </c>
      <c r="E31" s="7">
        <v>7.25</v>
      </c>
      <c r="F31" s="7">
        <v>29.75</v>
      </c>
      <c r="G31" s="7">
        <v>87.5</v>
      </c>
      <c r="H31" s="8">
        <v>3</v>
      </c>
      <c r="N31" t="b">
        <v>0</v>
      </c>
      <c r="O31" t="b">
        <v>0</v>
      </c>
      <c r="P31" t="b">
        <v>0</v>
      </c>
      <c r="Q31" t="b">
        <v>0</v>
      </c>
      <c r="R31">
        <v>0</v>
      </c>
      <c r="T31">
        <v>0</v>
      </c>
      <c r="V31">
        <v>0</v>
      </c>
    </row>
    <row r="32" spans="1:22" x14ac:dyDescent="0.25">
      <c r="A32" s="6" t="s">
        <v>63</v>
      </c>
      <c r="B32" s="6" t="s">
        <v>64</v>
      </c>
      <c r="C32" s="6" t="s">
        <v>74</v>
      </c>
      <c r="D32" s="6" t="s">
        <v>140</v>
      </c>
      <c r="E32" s="7">
        <v>8.75</v>
      </c>
      <c r="F32" s="7">
        <v>33.5</v>
      </c>
      <c r="G32" s="7">
        <v>105</v>
      </c>
      <c r="H32" s="8">
        <v>2</v>
      </c>
      <c r="N32" t="b">
        <v>0</v>
      </c>
      <c r="O32" t="b">
        <v>0</v>
      </c>
      <c r="P32" t="b">
        <v>0</v>
      </c>
      <c r="Q32" t="b">
        <v>0</v>
      </c>
      <c r="R32">
        <v>0</v>
      </c>
      <c r="T32">
        <v>0</v>
      </c>
      <c r="V32">
        <v>0</v>
      </c>
    </row>
    <row r="33" spans="1:22" x14ac:dyDescent="0.25">
      <c r="A33" s="6" t="s">
        <v>39</v>
      </c>
      <c r="B33" s="6" t="s">
        <v>85</v>
      </c>
      <c r="C33" s="6" t="s">
        <v>83</v>
      </c>
      <c r="D33" s="6" t="s">
        <v>141</v>
      </c>
      <c r="E33" s="7">
        <v>12.5</v>
      </c>
      <c r="F33" s="7">
        <v>38.75</v>
      </c>
      <c r="G33" s="7">
        <v>125</v>
      </c>
      <c r="H33" s="8">
        <v>2</v>
      </c>
      <c r="N33" t="b">
        <v>0</v>
      </c>
      <c r="O33" t="b">
        <v>0</v>
      </c>
      <c r="P33" t="b">
        <v>0</v>
      </c>
      <c r="Q33" t="b">
        <v>0</v>
      </c>
      <c r="R33">
        <v>0</v>
      </c>
      <c r="T33">
        <v>0</v>
      </c>
      <c r="V33">
        <v>0</v>
      </c>
    </row>
    <row r="34" spans="1:22" x14ac:dyDescent="0.25">
      <c r="A34" s="6" t="s">
        <v>69</v>
      </c>
      <c r="B34" s="6" t="s">
        <v>94</v>
      </c>
      <c r="C34" s="6" t="s">
        <v>10</v>
      </c>
      <c r="D34" s="6" t="s">
        <v>91</v>
      </c>
      <c r="E34" s="7">
        <v>13.5</v>
      </c>
      <c r="F34" s="7">
        <v>42.5</v>
      </c>
      <c r="G34" s="7">
        <v>130</v>
      </c>
      <c r="H34" s="8">
        <v>3</v>
      </c>
      <c r="N34" t="b">
        <v>0</v>
      </c>
      <c r="O34" t="b">
        <v>0</v>
      </c>
      <c r="P34" t="b">
        <v>0</v>
      </c>
      <c r="Q34" t="b">
        <v>0</v>
      </c>
      <c r="R34">
        <v>0</v>
      </c>
      <c r="T34">
        <v>0</v>
      </c>
      <c r="V34">
        <v>0</v>
      </c>
    </row>
    <row r="35" spans="1:22" x14ac:dyDescent="0.25">
      <c r="A35" s="6" t="s">
        <v>63</v>
      </c>
      <c r="B35" s="6" t="s">
        <v>67</v>
      </c>
      <c r="C35" s="6" t="s">
        <v>74</v>
      </c>
      <c r="D35" s="6" t="s">
        <v>142</v>
      </c>
      <c r="E35" s="7">
        <v>13.75</v>
      </c>
      <c r="F35" s="7">
        <v>41.75</v>
      </c>
      <c r="G35" s="7">
        <v>125</v>
      </c>
      <c r="H35" s="8">
        <v>1</v>
      </c>
      <c r="N35" t="b">
        <v>0</v>
      </c>
      <c r="O35" t="b">
        <v>0</v>
      </c>
      <c r="P35" t="b">
        <v>0</v>
      </c>
      <c r="Q35" t="b">
        <v>0</v>
      </c>
      <c r="R35">
        <v>0</v>
      </c>
      <c r="T35">
        <v>0</v>
      </c>
      <c r="V35">
        <v>0</v>
      </c>
    </row>
    <row r="36" spans="1:22" x14ac:dyDescent="0.25">
      <c r="A36" s="6" t="s">
        <v>3</v>
      </c>
      <c r="B36" s="6" t="s">
        <v>89</v>
      </c>
      <c r="C36" s="6" t="s">
        <v>70</v>
      </c>
      <c r="D36" s="6" t="s">
        <v>90</v>
      </c>
      <c r="E36" s="7">
        <v>12.5</v>
      </c>
      <c r="F36" s="7">
        <v>36.75</v>
      </c>
      <c r="G36" s="7">
        <v>117.5</v>
      </c>
      <c r="H36" s="8">
        <v>1</v>
      </c>
      <c r="N36" t="b">
        <v>0</v>
      </c>
      <c r="O36" t="b">
        <v>0</v>
      </c>
      <c r="P36" t="b">
        <v>0</v>
      </c>
      <c r="Q36" t="b">
        <v>0</v>
      </c>
      <c r="R36">
        <v>0</v>
      </c>
      <c r="T36">
        <v>0</v>
      </c>
      <c r="V36">
        <v>0</v>
      </c>
    </row>
    <row r="37" spans="1:22" x14ac:dyDescent="0.25">
      <c r="A37" s="6" t="s">
        <v>39</v>
      </c>
      <c r="B37" s="6" t="s">
        <v>66</v>
      </c>
      <c r="C37" s="6" t="s">
        <v>74</v>
      </c>
      <c r="D37" s="6" t="s">
        <v>143</v>
      </c>
      <c r="E37" s="7">
        <v>15.5</v>
      </c>
      <c r="F37" s="7">
        <v>44.75</v>
      </c>
      <c r="G37" s="7">
        <v>132</v>
      </c>
      <c r="H37" s="8">
        <v>2</v>
      </c>
      <c r="N37" t="b">
        <v>0</v>
      </c>
      <c r="O37" t="b">
        <v>0</v>
      </c>
      <c r="P37" t="b">
        <v>0</v>
      </c>
      <c r="Q37" t="b">
        <v>0</v>
      </c>
      <c r="R37">
        <v>0</v>
      </c>
      <c r="T37">
        <v>0</v>
      </c>
      <c r="V37">
        <v>0</v>
      </c>
    </row>
    <row r="38" spans="1:22" x14ac:dyDescent="0.25">
      <c r="A38" s="6" t="s">
        <v>79</v>
      </c>
      <c r="B38" s="6" t="s">
        <v>126</v>
      </c>
      <c r="C38" s="6" t="s">
        <v>127</v>
      </c>
      <c r="D38" s="6" t="s">
        <v>128</v>
      </c>
      <c r="E38" s="7">
        <v>7.5</v>
      </c>
      <c r="F38" s="7">
        <v>23.75</v>
      </c>
      <c r="G38" s="7">
        <v>65</v>
      </c>
      <c r="H38" s="8">
        <v>5</v>
      </c>
      <c r="N38" t="b">
        <v>0</v>
      </c>
      <c r="O38" t="b">
        <v>0</v>
      </c>
      <c r="P38" t="b">
        <v>0</v>
      </c>
      <c r="Q38" t="b">
        <v>0</v>
      </c>
      <c r="R38">
        <v>0</v>
      </c>
      <c r="T38">
        <v>0</v>
      </c>
      <c r="V38">
        <v>0</v>
      </c>
    </row>
    <row r="39" spans="1:22" x14ac:dyDescent="0.25">
      <c r="A39" s="6" t="s">
        <v>69</v>
      </c>
      <c r="B39" s="6" t="s">
        <v>145</v>
      </c>
      <c r="C39" s="6" t="s">
        <v>70</v>
      </c>
      <c r="D39" s="6" t="s">
        <v>177</v>
      </c>
      <c r="E39" s="7">
        <v>12.5</v>
      </c>
      <c r="F39" s="7">
        <v>35.25</v>
      </c>
      <c r="G39" s="7">
        <v>97.5</v>
      </c>
      <c r="H39" s="8">
        <v>1</v>
      </c>
      <c r="N39" t="b">
        <v>0</v>
      </c>
      <c r="O39" t="b">
        <v>0</v>
      </c>
      <c r="P39" t="b">
        <v>0</v>
      </c>
      <c r="Q39" t="b">
        <v>0</v>
      </c>
      <c r="R39">
        <v>0</v>
      </c>
      <c r="T39">
        <v>0</v>
      </c>
      <c r="V39">
        <v>0</v>
      </c>
    </row>
    <row r="40" spans="1:22" x14ac:dyDescent="0.25">
      <c r="A40" s="6" t="s">
        <v>69</v>
      </c>
      <c r="B40" s="6" t="s">
        <v>68</v>
      </c>
      <c r="C40" s="6" t="s">
        <v>10</v>
      </c>
      <c r="D40" s="6" t="s">
        <v>146</v>
      </c>
      <c r="E40" s="7">
        <v>11.75</v>
      </c>
      <c r="F40" s="7">
        <v>33.75</v>
      </c>
      <c r="G40" s="7">
        <v>92.5</v>
      </c>
      <c r="H40" s="8">
        <v>2</v>
      </c>
      <c r="N40" t="b">
        <v>0</v>
      </c>
      <c r="O40" t="b">
        <v>0</v>
      </c>
      <c r="P40" t="b">
        <v>0</v>
      </c>
      <c r="Q40" t="b">
        <v>0</v>
      </c>
      <c r="R40">
        <v>0</v>
      </c>
      <c r="T40">
        <v>0</v>
      </c>
      <c r="V40">
        <v>0</v>
      </c>
    </row>
    <row r="41" spans="1:22" x14ac:dyDescent="0.25">
      <c r="A41" s="6" t="s">
        <v>69</v>
      </c>
      <c r="B41" s="6" t="s">
        <v>71</v>
      </c>
      <c r="C41" s="6" t="s">
        <v>70</v>
      </c>
      <c r="D41" s="6" t="s">
        <v>144</v>
      </c>
      <c r="E41" s="7">
        <v>14.5</v>
      </c>
      <c r="F41" s="7">
        <v>40.75</v>
      </c>
      <c r="G41" s="7">
        <v>125</v>
      </c>
      <c r="H41" s="8">
        <v>1</v>
      </c>
      <c r="N41" t="b">
        <v>0</v>
      </c>
      <c r="O41" t="b">
        <v>0</v>
      </c>
      <c r="P41" t="b">
        <v>0</v>
      </c>
      <c r="Q41" t="b">
        <v>0</v>
      </c>
      <c r="R41">
        <v>0</v>
      </c>
      <c r="T41">
        <v>0</v>
      </c>
      <c r="V41">
        <v>0</v>
      </c>
    </row>
    <row r="42" spans="1:22" x14ac:dyDescent="0.25">
      <c r="A42" s="6" t="s">
        <v>69</v>
      </c>
      <c r="B42" s="6" t="s">
        <v>71</v>
      </c>
      <c r="C42" s="6" t="s">
        <v>10</v>
      </c>
      <c r="D42" s="6" t="s">
        <v>146</v>
      </c>
      <c r="E42" s="7">
        <v>13.75</v>
      </c>
      <c r="F42" s="7">
        <v>37.75</v>
      </c>
      <c r="G42" s="7">
        <v>120</v>
      </c>
      <c r="H42" s="8">
        <v>1</v>
      </c>
      <c r="N42" t="b">
        <v>0</v>
      </c>
      <c r="O42" t="b">
        <v>0</v>
      </c>
      <c r="P42" t="b">
        <v>0</v>
      </c>
      <c r="Q42" t="b">
        <v>0</v>
      </c>
      <c r="R42">
        <v>0</v>
      </c>
      <c r="T42">
        <v>0</v>
      </c>
      <c r="V42">
        <v>0</v>
      </c>
    </row>
    <row r="43" spans="1:22" x14ac:dyDescent="0.25">
      <c r="A43" s="6" t="s">
        <v>75</v>
      </c>
      <c r="B43" s="6" t="s">
        <v>76</v>
      </c>
      <c r="C43" s="6" t="s">
        <v>74</v>
      </c>
      <c r="D43" s="6" t="s">
        <v>77</v>
      </c>
      <c r="E43" s="7">
        <v>2.5</v>
      </c>
      <c r="F43" s="7">
        <v>8.25</v>
      </c>
      <c r="G43" s="7">
        <v>22.5</v>
      </c>
      <c r="H43" s="8">
        <v>150</v>
      </c>
      <c r="N43" t="b">
        <v>0</v>
      </c>
      <c r="O43" t="b">
        <v>0</v>
      </c>
      <c r="P43" t="b">
        <v>0</v>
      </c>
      <c r="Q43" t="b">
        <v>0</v>
      </c>
      <c r="R43">
        <v>0</v>
      </c>
      <c r="T43">
        <v>0</v>
      </c>
      <c r="V43">
        <v>0</v>
      </c>
    </row>
    <row r="44" spans="1:22" x14ac:dyDescent="0.25">
      <c r="A44" s="6" t="s">
        <v>75</v>
      </c>
      <c r="B44" s="6" t="s">
        <v>78</v>
      </c>
      <c r="C44" s="6" t="s">
        <v>74</v>
      </c>
      <c r="D44" s="6" t="s">
        <v>152</v>
      </c>
      <c r="E44" s="7" t="s">
        <v>151</v>
      </c>
      <c r="F44" s="7">
        <v>1.25</v>
      </c>
      <c r="G44" s="7">
        <v>4.25</v>
      </c>
      <c r="H44" s="8">
        <v>232</v>
      </c>
      <c r="N44" t="b">
        <v>0</v>
      </c>
      <c r="O44" t="b">
        <v>0</v>
      </c>
      <c r="P44" t="b">
        <v>0</v>
      </c>
      <c r="Q44" t="b">
        <v>0</v>
      </c>
      <c r="R44">
        <v>0</v>
      </c>
      <c r="T44">
        <v>0</v>
      </c>
      <c r="V44">
        <v>0</v>
      </c>
    </row>
    <row r="45" spans="1:22" x14ac:dyDescent="0.25">
      <c r="A45" s="6" t="s">
        <v>79</v>
      </c>
      <c r="B45" s="6" t="s">
        <v>111</v>
      </c>
      <c r="C45" s="6" t="s">
        <v>112</v>
      </c>
      <c r="D45" s="6" t="s">
        <v>113</v>
      </c>
      <c r="E45" s="7">
        <v>10.5</v>
      </c>
      <c r="F45" s="7">
        <v>35.75</v>
      </c>
      <c r="G45" s="7">
        <v>95.25</v>
      </c>
      <c r="H45" s="8">
        <v>2</v>
      </c>
      <c r="N45" t="b">
        <v>0</v>
      </c>
      <c r="O45" t="b">
        <v>0</v>
      </c>
      <c r="P45" t="b">
        <v>0</v>
      </c>
      <c r="Q45" t="b">
        <v>0</v>
      </c>
      <c r="R45">
        <v>0</v>
      </c>
      <c r="T45">
        <v>0</v>
      </c>
      <c r="V45">
        <v>0</v>
      </c>
    </row>
    <row r="46" spans="1:22" x14ac:dyDescent="0.25">
      <c r="A46" s="6" t="s">
        <v>79</v>
      </c>
      <c r="B46" s="6" t="s">
        <v>111</v>
      </c>
      <c r="C46" s="6" t="s">
        <v>114</v>
      </c>
      <c r="D46" s="6" t="s">
        <v>113</v>
      </c>
      <c r="E46" s="7">
        <v>8.75</v>
      </c>
      <c r="F46" s="7">
        <v>32.5</v>
      </c>
      <c r="G46" s="7">
        <v>89.75</v>
      </c>
      <c r="H46" s="8">
        <v>1</v>
      </c>
      <c r="N46" t="b">
        <v>0</v>
      </c>
      <c r="O46" t="b">
        <v>0</v>
      </c>
      <c r="P46" t="b">
        <v>0</v>
      </c>
      <c r="Q46" t="b">
        <v>0</v>
      </c>
      <c r="R46">
        <v>0</v>
      </c>
      <c r="T46">
        <v>0</v>
      </c>
      <c r="V46">
        <v>0</v>
      </c>
    </row>
    <row r="47" spans="1:22" x14ac:dyDescent="0.25">
      <c r="A47" s="6" t="s">
        <v>3</v>
      </c>
      <c r="B47" s="6" t="s">
        <v>99</v>
      </c>
      <c r="C47" s="6" t="s">
        <v>74</v>
      </c>
      <c r="D47" s="6" t="s">
        <v>101</v>
      </c>
      <c r="E47" s="7">
        <v>3.5</v>
      </c>
      <c r="F47" s="7">
        <v>10</v>
      </c>
      <c r="G47" s="7">
        <v>32.25</v>
      </c>
      <c r="H47" s="8">
        <v>3</v>
      </c>
      <c r="N47" t="b">
        <v>0</v>
      </c>
      <c r="O47" t="b">
        <v>0</v>
      </c>
      <c r="P47" t="b">
        <v>0</v>
      </c>
      <c r="Q47" t="b">
        <v>0</v>
      </c>
      <c r="R47">
        <v>0</v>
      </c>
      <c r="T47">
        <v>0</v>
      </c>
      <c r="V47">
        <v>0</v>
      </c>
    </row>
    <row r="48" spans="1:22" x14ac:dyDescent="0.25">
      <c r="A48" s="6" t="s">
        <v>79</v>
      </c>
      <c r="B48" s="6" t="s">
        <v>115</v>
      </c>
      <c r="C48" s="6" t="s">
        <v>112</v>
      </c>
      <c r="D48" s="6" t="s">
        <v>113</v>
      </c>
      <c r="E48" s="7">
        <v>9.25</v>
      </c>
      <c r="F48" s="7">
        <v>33.5</v>
      </c>
      <c r="G48" s="7">
        <v>92.25</v>
      </c>
      <c r="H48" s="8">
        <v>2</v>
      </c>
      <c r="N48" t="b">
        <v>0</v>
      </c>
      <c r="O48" t="b">
        <v>0</v>
      </c>
      <c r="P48" t="b">
        <v>0</v>
      </c>
      <c r="Q48" t="b">
        <v>0</v>
      </c>
      <c r="R48">
        <v>0</v>
      </c>
      <c r="T48">
        <v>0</v>
      </c>
      <c r="V48">
        <v>0</v>
      </c>
    </row>
    <row r="49" spans="1:22" x14ac:dyDescent="0.25">
      <c r="A49" s="6" t="s">
        <v>80</v>
      </c>
      <c r="B49" s="6" t="s">
        <v>134</v>
      </c>
      <c r="C49" s="6" t="s">
        <v>135</v>
      </c>
      <c r="D49" s="6" t="s">
        <v>169</v>
      </c>
      <c r="E49" s="7">
        <v>15.75</v>
      </c>
      <c r="F49" s="7">
        <v>45</v>
      </c>
      <c r="G49" s="7">
        <v>124.5</v>
      </c>
      <c r="H49" s="8">
        <v>1</v>
      </c>
      <c r="N49" t="b">
        <v>0</v>
      </c>
      <c r="O49" t="b">
        <v>0</v>
      </c>
      <c r="P49" t="b">
        <v>0</v>
      </c>
      <c r="Q49" t="b">
        <v>0</v>
      </c>
      <c r="R49">
        <v>0</v>
      </c>
      <c r="T49">
        <v>0</v>
      </c>
      <c r="V49">
        <v>0</v>
      </c>
    </row>
    <row r="50" spans="1:22" x14ac:dyDescent="0.25">
      <c r="A50" s="6" t="s">
        <v>103</v>
      </c>
      <c r="B50" s="6" t="s">
        <v>104</v>
      </c>
      <c r="C50" s="6" t="s">
        <v>108</v>
      </c>
      <c r="D50" s="6" t="s">
        <v>109</v>
      </c>
      <c r="E50" s="7">
        <v>8.75</v>
      </c>
      <c r="F50" s="7">
        <v>31</v>
      </c>
      <c r="G50" s="7">
        <v>93.5</v>
      </c>
      <c r="H50" s="8">
        <v>2</v>
      </c>
      <c r="N50" t="b">
        <v>0</v>
      </c>
      <c r="O50" t="b">
        <v>0</v>
      </c>
      <c r="P50" t="b">
        <v>0</v>
      </c>
      <c r="Q50" t="b">
        <v>0</v>
      </c>
      <c r="R50">
        <v>0</v>
      </c>
      <c r="T50">
        <v>0</v>
      </c>
      <c r="V50">
        <v>0</v>
      </c>
    </row>
    <row r="51" spans="1:22" x14ac:dyDescent="0.25">
      <c r="A51" s="6" t="s">
        <v>3</v>
      </c>
      <c r="B51" s="6" t="s">
        <v>84</v>
      </c>
      <c r="C51" s="6" t="s">
        <v>83</v>
      </c>
      <c r="D51" s="6" t="s">
        <v>170</v>
      </c>
      <c r="E51" s="7">
        <v>9.75</v>
      </c>
      <c r="F51" s="7">
        <v>32.25</v>
      </c>
      <c r="G51" s="7">
        <v>87.75</v>
      </c>
      <c r="H51" s="8">
        <v>2</v>
      </c>
      <c r="N51" t="b">
        <v>0</v>
      </c>
      <c r="O51" t="b">
        <v>0</v>
      </c>
      <c r="P51" t="b">
        <v>0</v>
      </c>
      <c r="Q51" t="b">
        <v>0</v>
      </c>
      <c r="R51">
        <v>0</v>
      </c>
      <c r="T51">
        <v>0</v>
      </c>
      <c r="V51">
        <v>0</v>
      </c>
    </row>
    <row r="52" spans="1:22" x14ac:dyDescent="0.25">
      <c r="A52" s="6" t="s">
        <v>3</v>
      </c>
      <c r="B52" s="6" t="s">
        <v>84</v>
      </c>
      <c r="C52" s="6" t="s">
        <v>83</v>
      </c>
      <c r="D52" s="6" t="s">
        <v>132</v>
      </c>
      <c r="E52" s="7">
        <v>8.5</v>
      </c>
      <c r="F52" s="7">
        <v>28.75</v>
      </c>
      <c r="G52" s="7">
        <v>82</v>
      </c>
      <c r="H52" s="8">
        <v>1</v>
      </c>
      <c r="N52" t="b">
        <v>0</v>
      </c>
      <c r="O52" t="b">
        <v>0</v>
      </c>
      <c r="P52" t="b">
        <v>0</v>
      </c>
      <c r="Q52" t="b">
        <v>0</v>
      </c>
      <c r="R52">
        <v>0</v>
      </c>
      <c r="T52">
        <v>0</v>
      </c>
      <c r="V52">
        <v>0</v>
      </c>
    </row>
    <row r="53" spans="1:22" x14ac:dyDescent="0.25">
      <c r="A53" s="6" t="s">
        <v>3</v>
      </c>
      <c r="B53" s="6" t="s">
        <v>84</v>
      </c>
      <c r="C53" s="6" t="s">
        <v>10</v>
      </c>
      <c r="D53" s="6" t="s">
        <v>132</v>
      </c>
      <c r="E53" s="7">
        <v>7.75</v>
      </c>
      <c r="F53" s="7">
        <v>26.5</v>
      </c>
      <c r="G53" s="7">
        <v>77.5</v>
      </c>
      <c r="H53" s="8">
        <v>1</v>
      </c>
      <c r="N53" t="b">
        <v>0</v>
      </c>
      <c r="O53" t="b">
        <v>0</v>
      </c>
      <c r="P53" t="b">
        <v>0</v>
      </c>
      <c r="Q53" t="b">
        <v>0</v>
      </c>
      <c r="R53">
        <v>0</v>
      </c>
      <c r="T53">
        <v>0</v>
      </c>
      <c r="V53">
        <v>0</v>
      </c>
    </row>
    <row r="54" spans="1:22" x14ac:dyDescent="0.25">
      <c r="A54" s="6" t="s">
        <v>3</v>
      </c>
      <c r="B54" s="6" t="s">
        <v>87</v>
      </c>
      <c r="C54" s="6" t="s">
        <v>83</v>
      </c>
      <c r="D54" s="6" t="s">
        <v>171</v>
      </c>
      <c r="E54" s="7">
        <v>9.5</v>
      </c>
      <c r="F54" s="7">
        <v>30.75</v>
      </c>
      <c r="G54" s="7">
        <v>89.75</v>
      </c>
      <c r="H54" s="8">
        <v>3</v>
      </c>
      <c r="N54" t="b">
        <v>0</v>
      </c>
      <c r="O54" t="b">
        <v>0</v>
      </c>
      <c r="P54" t="b">
        <v>0</v>
      </c>
      <c r="Q54" t="b">
        <v>0</v>
      </c>
      <c r="R54">
        <v>0</v>
      </c>
      <c r="T54">
        <v>0</v>
      </c>
      <c r="V54">
        <v>0</v>
      </c>
    </row>
    <row r="55" spans="1:22" x14ac:dyDescent="0.25">
      <c r="A55" s="6" t="s">
        <v>3</v>
      </c>
      <c r="B55" s="6" t="s">
        <v>87</v>
      </c>
      <c r="C55" s="6" t="s">
        <v>10</v>
      </c>
      <c r="D55" s="6" t="s">
        <v>172</v>
      </c>
      <c r="E55" s="7">
        <v>9</v>
      </c>
      <c r="F55" s="7">
        <v>28.5</v>
      </c>
      <c r="G55" s="7">
        <v>85.25</v>
      </c>
      <c r="H55" s="8">
        <v>2</v>
      </c>
      <c r="N55" t="b">
        <v>0</v>
      </c>
      <c r="O55" t="b">
        <v>0</v>
      </c>
      <c r="P55" t="b">
        <v>0</v>
      </c>
      <c r="Q55" t="b">
        <v>0</v>
      </c>
      <c r="R55">
        <v>0</v>
      </c>
      <c r="T55">
        <v>0</v>
      </c>
      <c r="V55">
        <v>0</v>
      </c>
    </row>
    <row r="56" spans="1:22" x14ac:dyDescent="0.25">
      <c r="A56" s="6" t="s">
        <v>3</v>
      </c>
      <c r="B56" s="6" t="s">
        <v>88</v>
      </c>
      <c r="C56" s="6" t="s">
        <v>83</v>
      </c>
      <c r="D56" s="6" t="s">
        <v>171</v>
      </c>
      <c r="E56" s="7">
        <v>11.25</v>
      </c>
      <c r="F56" s="7">
        <v>36.75</v>
      </c>
      <c r="G56" s="7">
        <v>121</v>
      </c>
      <c r="H56" s="8">
        <v>1</v>
      </c>
      <c r="N56" t="b">
        <v>0</v>
      </c>
      <c r="O56" t="b">
        <v>0</v>
      </c>
      <c r="P56" t="b">
        <v>0</v>
      </c>
      <c r="Q56" t="b">
        <v>0</v>
      </c>
      <c r="R56">
        <v>0</v>
      </c>
      <c r="T56">
        <v>0</v>
      </c>
      <c r="V56">
        <v>0</v>
      </c>
    </row>
    <row r="57" spans="1:22" x14ac:dyDescent="0.25">
      <c r="A57" s="6" t="s">
        <v>80</v>
      </c>
      <c r="B57" s="6" t="s">
        <v>81</v>
      </c>
      <c r="C57" s="6" t="s">
        <v>86</v>
      </c>
      <c r="D57" s="6" t="s">
        <v>47</v>
      </c>
      <c r="E57" s="7">
        <v>13.25</v>
      </c>
      <c r="F57" s="7">
        <v>41</v>
      </c>
      <c r="G57" s="7">
        <v>138.75</v>
      </c>
      <c r="H57" s="8">
        <v>2</v>
      </c>
      <c r="N57" t="b">
        <v>0</v>
      </c>
      <c r="O57" t="b">
        <v>0</v>
      </c>
      <c r="P57" t="b">
        <v>0</v>
      </c>
      <c r="Q57" t="b">
        <v>0</v>
      </c>
      <c r="R57">
        <v>0</v>
      </c>
      <c r="T57">
        <v>0</v>
      </c>
      <c r="V57">
        <v>0</v>
      </c>
    </row>
    <row r="58" spans="1:22" x14ac:dyDescent="0.25">
      <c r="A58" s="6" t="s">
        <v>80</v>
      </c>
      <c r="B58" s="6" t="s">
        <v>82</v>
      </c>
      <c r="C58" s="6" t="s">
        <v>86</v>
      </c>
      <c r="D58" s="6" t="s">
        <v>48</v>
      </c>
      <c r="E58" s="7">
        <v>18.75</v>
      </c>
      <c r="F58" s="7">
        <v>51.25</v>
      </c>
      <c r="G58" s="7">
        <v>150</v>
      </c>
      <c r="H58" s="8">
        <v>1</v>
      </c>
      <c r="N58" t="b">
        <v>0</v>
      </c>
      <c r="O58" t="b">
        <v>0</v>
      </c>
      <c r="P58" t="b">
        <v>0</v>
      </c>
      <c r="Q58" t="b">
        <v>0</v>
      </c>
      <c r="R58">
        <v>0</v>
      </c>
      <c r="T58">
        <v>0</v>
      </c>
      <c r="V58">
        <v>0</v>
      </c>
    </row>
    <row r="59" spans="1:22" x14ac:dyDescent="0.25">
      <c r="A59" s="6" t="s">
        <v>80</v>
      </c>
      <c r="B59" s="6" t="s">
        <v>168</v>
      </c>
      <c r="C59" s="6" t="s">
        <v>74</v>
      </c>
      <c r="D59" s="6" t="s">
        <v>125</v>
      </c>
      <c r="E59" s="7">
        <v>12.25</v>
      </c>
      <c r="F59" s="7">
        <v>34.5</v>
      </c>
      <c r="G59" s="7">
        <v>131.75</v>
      </c>
      <c r="H59" s="8">
        <v>1</v>
      </c>
      <c r="N59" t="b">
        <v>0</v>
      </c>
      <c r="O59" t="b">
        <v>0</v>
      </c>
      <c r="P59" t="b">
        <v>0</v>
      </c>
      <c r="Q59" t="b">
        <v>0</v>
      </c>
      <c r="R59">
        <v>0</v>
      </c>
      <c r="T59">
        <v>0</v>
      </c>
      <c r="V59">
        <v>0</v>
      </c>
    </row>
    <row r="60" spans="1:22" x14ac:dyDescent="0.25">
      <c r="A60" s="6" t="s">
        <v>80</v>
      </c>
      <c r="B60" s="6" t="s">
        <v>167</v>
      </c>
      <c r="C60" s="6" t="s">
        <v>83</v>
      </c>
      <c r="D60" s="6" t="s">
        <v>132</v>
      </c>
      <c r="E60" s="7">
        <v>10.5</v>
      </c>
      <c r="F60" s="7">
        <v>34.25</v>
      </c>
      <c r="G60" s="7">
        <v>130</v>
      </c>
      <c r="H60" s="8">
        <v>2</v>
      </c>
      <c r="N60" t="b">
        <v>0</v>
      </c>
      <c r="O60" t="b">
        <v>0</v>
      </c>
      <c r="P60" t="b">
        <v>0</v>
      </c>
      <c r="Q60" t="b">
        <v>0</v>
      </c>
      <c r="R60">
        <v>0</v>
      </c>
      <c r="T60">
        <v>0</v>
      </c>
      <c r="V60">
        <v>0</v>
      </c>
    </row>
    <row r="61" spans="1:22" x14ac:dyDescent="0.25">
      <c r="A61" s="6" t="s">
        <v>69</v>
      </c>
      <c r="B61" s="6" t="s">
        <v>94</v>
      </c>
      <c r="C61" s="6" t="s">
        <v>86</v>
      </c>
      <c r="D61" s="6" t="s">
        <v>91</v>
      </c>
      <c r="E61" s="7">
        <v>12.25</v>
      </c>
      <c r="F61" s="7">
        <v>37.5</v>
      </c>
      <c r="G61" s="7">
        <v>127.5</v>
      </c>
      <c r="H61" s="8">
        <v>2</v>
      </c>
      <c r="N61" t="b">
        <v>0</v>
      </c>
      <c r="O61" t="b">
        <v>0</v>
      </c>
      <c r="P61" t="b">
        <v>0</v>
      </c>
      <c r="Q61" t="b">
        <v>0</v>
      </c>
      <c r="R61">
        <v>0</v>
      </c>
      <c r="T61">
        <v>0</v>
      </c>
      <c r="V61">
        <v>0</v>
      </c>
    </row>
    <row r="62" spans="1:22" x14ac:dyDescent="0.25">
      <c r="A62" s="6" t="s">
        <v>79</v>
      </c>
      <c r="B62" s="6" t="s">
        <v>116</v>
      </c>
      <c r="C62" s="6" t="s">
        <v>74</v>
      </c>
      <c r="D62" s="6" t="s">
        <v>117</v>
      </c>
      <c r="E62" s="7">
        <v>6.75</v>
      </c>
      <c r="F62" s="7">
        <v>20.75</v>
      </c>
      <c r="G62" s="7">
        <v>75</v>
      </c>
      <c r="H62" s="8">
        <v>3</v>
      </c>
      <c r="N62" t="b">
        <v>0</v>
      </c>
      <c r="O62" t="b">
        <v>0</v>
      </c>
      <c r="P62" t="b">
        <v>0</v>
      </c>
      <c r="Q62" t="b">
        <v>0</v>
      </c>
      <c r="R62">
        <v>0</v>
      </c>
      <c r="T62">
        <v>0</v>
      </c>
      <c r="V62">
        <v>0</v>
      </c>
    </row>
    <row r="63" spans="1:22" x14ac:dyDescent="0.25">
      <c r="A63" s="6" t="s">
        <v>79</v>
      </c>
      <c r="B63" s="6" t="s">
        <v>116</v>
      </c>
      <c r="C63" s="6" t="s">
        <v>112</v>
      </c>
      <c r="D63" s="6" t="s">
        <v>118</v>
      </c>
      <c r="E63" s="7">
        <v>6.25</v>
      </c>
      <c r="F63" s="7">
        <v>19.5</v>
      </c>
      <c r="G63" s="7">
        <v>72</v>
      </c>
      <c r="H63" s="8">
        <v>2</v>
      </c>
      <c r="N63" t="b">
        <v>0</v>
      </c>
      <c r="O63" t="b">
        <v>0</v>
      </c>
      <c r="P63" t="b">
        <v>0</v>
      </c>
      <c r="Q63" t="b">
        <v>0</v>
      </c>
      <c r="R63">
        <v>0</v>
      </c>
      <c r="T63">
        <v>0</v>
      </c>
      <c r="V63">
        <v>0</v>
      </c>
    </row>
    <row r="64" spans="1:22" x14ac:dyDescent="0.25">
      <c r="A64" s="6" t="s">
        <v>80</v>
      </c>
      <c r="B64" s="6" t="s">
        <v>136</v>
      </c>
      <c r="C64" s="6" t="s">
        <v>135</v>
      </c>
      <c r="D64" s="6" t="s">
        <v>47</v>
      </c>
      <c r="E64" s="7">
        <v>22.25</v>
      </c>
      <c r="F64" s="7">
        <v>65</v>
      </c>
      <c r="G64" s="7">
        <v>175</v>
      </c>
      <c r="H64" s="8">
        <v>1</v>
      </c>
      <c r="N64" t="b">
        <v>0</v>
      </c>
      <c r="O64" t="b">
        <v>0</v>
      </c>
      <c r="P64" t="b">
        <v>0</v>
      </c>
      <c r="Q64" t="b">
        <v>0</v>
      </c>
      <c r="R64">
        <v>0</v>
      </c>
      <c r="T64">
        <v>0</v>
      </c>
      <c r="V64">
        <v>0</v>
      </c>
    </row>
    <row r="65" spans="1:22" x14ac:dyDescent="0.25">
      <c r="A65" s="6" t="s">
        <v>69</v>
      </c>
      <c r="B65" s="6" t="s">
        <v>94</v>
      </c>
      <c r="C65" s="6" t="s">
        <v>92</v>
      </c>
      <c r="D65" s="6" t="s">
        <v>93</v>
      </c>
      <c r="E65" s="7">
        <v>10.5</v>
      </c>
      <c r="F65" s="7">
        <v>34.25</v>
      </c>
      <c r="G65" s="7">
        <v>119.75</v>
      </c>
      <c r="H65" s="8">
        <v>1</v>
      </c>
      <c r="N65" t="b">
        <v>0</v>
      </c>
      <c r="O65" t="b">
        <v>0</v>
      </c>
      <c r="P65" t="b">
        <v>0</v>
      </c>
      <c r="Q65" t="b">
        <v>0</v>
      </c>
      <c r="R65">
        <v>0</v>
      </c>
      <c r="T65">
        <v>0</v>
      </c>
      <c r="V65">
        <v>0</v>
      </c>
    </row>
    <row r="66" spans="1:22" x14ac:dyDescent="0.25">
      <c r="A66" s="6" t="s">
        <v>5</v>
      </c>
      <c r="B66" s="6" t="s">
        <v>6</v>
      </c>
      <c r="C66" s="6" t="s">
        <v>74</v>
      </c>
      <c r="D66" s="6" t="s">
        <v>95</v>
      </c>
      <c r="E66" s="7">
        <v>5.25</v>
      </c>
      <c r="F66" s="7">
        <v>16.25</v>
      </c>
      <c r="G66" s="7">
        <v>49.75</v>
      </c>
      <c r="H66" s="8">
        <v>4</v>
      </c>
      <c r="N66" t="b">
        <v>0</v>
      </c>
      <c r="O66" t="b">
        <v>0</v>
      </c>
      <c r="P66" t="b">
        <v>0</v>
      </c>
      <c r="Q66" t="b">
        <v>0</v>
      </c>
      <c r="R66">
        <v>0</v>
      </c>
      <c r="T66">
        <v>0</v>
      </c>
      <c r="V66">
        <v>0</v>
      </c>
    </row>
    <row r="67" spans="1:22" x14ac:dyDescent="0.25">
      <c r="A67" s="6" t="s">
        <v>5</v>
      </c>
      <c r="B67" s="6" t="s">
        <v>96</v>
      </c>
      <c r="C67" s="6" t="s">
        <v>74</v>
      </c>
      <c r="D67" s="6" t="s">
        <v>97</v>
      </c>
      <c r="E67" s="7">
        <v>6.25</v>
      </c>
      <c r="F67" s="7">
        <v>18.25</v>
      </c>
      <c r="G67" s="7">
        <v>52</v>
      </c>
      <c r="H67" s="8">
        <v>2</v>
      </c>
      <c r="N67" t="b">
        <v>0</v>
      </c>
      <c r="O67" t="b">
        <v>0</v>
      </c>
      <c r="P67" t="b">
        <v>0</v>
      </c>
      <c r="Q67" t="b">
        <v>0</v>
      </c>
      <c r="R67">
        <v>0</v>
      </c>
      <c r="T67">
        <v>0</v>
      </c>
      <c r="V67">
        <v>0</v>
      </c>
    </row>
    <row r="68" spans="1:22" x14ac:dyDescent="0.25">
      <c r="A68" s="6" t="s">
        <v>5</v>
      </c>
      <c r="B68" s="6" t="s">
        <v>98</v>
      </c>
      <c r="C68" s="6" t="s">
        <v>74</v>
      </c>
      <c r="D68" s="6" t="s">
        <v>18</v>
      </c>
      <c r="E68" s="7">
        <v>4.75</v>
      </c>
      <c r="F68" s="7">
        <v>14.75</v>
      </c>
      <c r="G68" s="7">
        <v>36.5</v>
      </c>
      <c r="H68" s="8">
        <v>2</v>
      </c>
      <c r="N68" t="b">
        <v>0</v>
      </c>
      <c r="O68" t="b">
        <v>0</v>
      </c>
      <c r="P68" t="b">
        <v>0</v>
      </c>
      <c r="Q68" t="b">
        <v>0</v>
      </c>
      <c r="R68">
        <v>0</v>
      </c>
      <c r="T68">
        <v>0</v>
      </c>
      <c r="V68">
        <v>0</v>
      </c>
    </row>
    <row r="69" spans="1:22" x14ac:dyDescent="0.25">
      <c r="A69" s="6" t="s">
        <v>80</v>
      </c>
      <c r="B69" s="6" t="s">
        <v>168</v>
      </c>
      <c r="C69" s="6" t="s">
        <v>10</v>
      </c>
      <c r="D69" s="6" t="s">
        <v>123</v>
      </c>
      <c r="E69" s="7">
        <v>15.25</v>
      </c>
      <c r="F69" s="7">
        <v>49.75</v>
      </c>
      <c r="G69" s="7">
        <v>147.5</v>
      </c>
      <c r="H69" s="8">
        <v>2</v>
      </c>
      <c r="N69" t="b">
        <v>0</v>
      </c>
      <c r="O69" t="b">
        <v>0</v>
      </c>
      <c r="P69" t="b">
        <v>0</v>
      </c>
      <c r="Q69" t="b">
        <v>0</v>
      </c>
      <c r="R69">
        <v>0</v>
      </c>
      <c r="T69">
        <v>0</v>
      </c>
      <c r="V69">
        <v>0</v>
      </c>
    </row>
    <row r="70" spans="1:22" x14ac:dyDescent="0.25">
      <c r="A70" s="6" t="s">
        <v>3</v>
      </c>
      <c r="B70" s="6" t="s">
        <v>99</v>
      </c>
      <c r="C70" s="6" t="s">
        <v>124</v>
      </c>
      <c r="D70" s="6" t="s">
        <v>100</v>
      </c>
      <c r="E70" s="7">
        <v>2.25</v>
      </c>
      <c r="F70" s="7">
        <v>6.5</v>
      </c>
      <c r="G70" s="7">
        <v>18.75</v>
      </c>
      <c r="H70" s="8">
        <v>4</v>
      </c>
      <c r="N70" t="b">
        <v>0</v>
      </c>
      <c r="O70" t="b">
        <v>0</v>
      </c>
      <c r="P70" t="b">
        <v>0</v>
      </c>
      <c r="Q70" t="b">
        <v>0</v>
      </c>
      <c r="R70">
        <v>0</v>
      </c>
      <c r="T70">
        <v>0</v>
      </c>
      <c r="V70">
        <v>0</v>
      </c>
    </row>
    <row r="71" spans="1:22" x14ac:dyDescent="0.25">
      <c r="A71" s="6" t="s">
        <v>103</v>
      </c>
      <c r="B71" s="6" t="s">
        <v>102</v>
      </c>
      <c r="C71" s="6" t="s">
        <v>105</v>
      </c>
      <c r="D71" s="6" t="s">
        <v>107</v>
      </c>
      <c r="E71" s="7">
        <v>17.5</v>
      </c>
      <c r="F71" s="7">
        <v>63.25</v>
      </c>
      <c r="G71" s="7">
        <v>195</v>
      </c>
      <c r="H71" s="8">
        <v>2</v>
      </c>
      <c r="N71" t="b">
        <v>0</v>
      </c>
      <c r="O71" t="b">
        <v>0</v>
      </c>
      <c r="P71" t="b">
        <v>0</v>
      </c>
      <c r="Q71" t="b">
        <v>0</v>
      </c>
      <c r="R71">
        <v>0</v>
      </c>
      <c r="T71">
        <v>0</v>
      </c>
      <c r="V71">
        <v>0</v>
      </c>
    </row>
    <row r="72" spans="1:22" x14ac:dyDescent="0.25">
      <c r="A72" s="6" t="s">
        <v>103</v>
      </c>
      <c r="B72" s="6" t="s">
        <v>102</v>
      </c>
      <c r="C72" s="6" t="s">
        <v>10</v>
      </c>
      <c r="D72" s="6" t="s">
        <v>106</v>
      </c>
      <c r="E72" s="7">
        <v>23.75</v>
      </c>
      <c r="F72" s="7">
        <v>72.5</v>
      </c>
      <c r="G72" s="7">
        <v>225</v>
      </c>
      <c r="H72" s="8">
        <v>1</v>
      </c>
      <c r="N72" t="b">
        <v>0</v>
      </c>
      <c r="O72" t="b">
        <v>0</v>
      </c>
      <c r="P72" t="b">
        <v>0</v>
      </c>
      <c r="Q72" t="b">
        <v>0</v>
      </c>
      <c r="R72">
        <v>0</v>
      </c>
      <c r="T72">
        <v>0</v>
      </c>
      <c r="V72">
        <v>0</v>
      </c>
    </row>
    <row r="73" spans="1:22" x14ac:dyDescent="0.25">
      <c r="A73" s="6" t="s">
        <v>79</v>
      </c>
      <c r="B73" s="6" t="s">
        <v>119</v>
      </c>
      <c r="C73" s="6" t="s">
        <v>74</v>
      </c>
      <c r="D73" s="6" t="s">
        <v>122</v>
      </c>
      <c r="E73" s="7">
        <v>5.5</v>
      </c>
      <c r="F73" s="7">
        <v>17.75</v>
      </c>
      <c r="G73" s="7">
        <v>55</v>
      </c>
      <c r="H73" s="8">
        <v>2</v>
      </c>
      <c r="N73" t="b">
        <v>0</v>
      </c>
      <c r="O73" t="b">
        <v>0</v>
      </c>
      <c r="P73" t="b">
        <v>0</v>
      </c>
      <c r="Q73" t="b">
        <v>0</v>
      </c>
      <c r="R73">
        <v>0</v>
      </c>
      <c r="T73">
        <v>0</v>
      </c>
      <c r="V73">
        <v>0</v>
      </c>
    </row>
    <row r="74" spans="1:22" x14ac:dyDescent="0.25">
      <c r="A74" s="6" t="s">
        <v>79</v>
      </c>
      <c r="B74" s="6" t="s">
        <v>120</v>
      </c>
      <c r="C74" s="6" t="s">
        <v>92</v>
      </c>
      <c r="D74" s="6" t="s">
        <v>153</v>
      </c>
      <c r="E74" s="7">
        <v>4.25</v>
      </c>
      <c r="F74" s="7">
        <v>14.25</v>
      </c>
      <c r="G74" s="7">
        <v>42.75</v>
      </c>
      <c r="H74" s="8">
        <v>1</v>
      </c>
      <c r="N74" t="b">
        <v>0</v>
      </c>
      <c r="O74" t="b">
        <v>0</v>
      </c>
      <c r="P74" t="b">
        <v>0</v>
      </c>
      <c r="Q74" t="b">
        <v>0</v>
      </c>
      <c r="R74">
        <v>0</v>
      </c>
      <c r="T74">
        <v>0</v>
      </c>
      <c r="V74">
        <v>0</v>
      </c>
    </row>
    <row r="75" spans="1:22" x14ac:dyDescent="0.25">
      <c r="A75" s="6" t="s">
        <v>80</v>
      </c>
      <c r="B75" s="6" t="s">
        <v>167</v>
      </c>
      <c r="C75" s="6" t="s">
        <v>10</v>
      </c>
      <c r="D75" s="6" t="s">
        <v>133</v>
      </c>
      <c r="E75" s="7">
        <v>12.25</v>
      </c>
      <c r="F75" s="7">
        <v>34.75</v>
      </c>
      <c r="G75" s="7">
        <v>101</v>
      </c>
      <c r="H75" s="8">
        <v>2</v>
      </c>
      <c r="N75" t="b">
        <v>0</v>
      </c>
      <c r="O75" t="b">
        <v>0</v>
      </c>
      <c r="P75" t="b">
        <v>0</v>
      </c>
      <c r="Q75" t="b">
        <v>0</v>
      </c>
      <c r="R75">
        <v>0</v>
      </c>
      <c r="T75">
        <v>0</v>
      </c>
      <c r="V75">
        <v>0</v>
      </c>
    </row>
    <row r="76" spans="1:22" x14ac:dyDescent="0.25">
      <c r="A76" s="6" t="s">
        <v>79</v>
      </c>
      <c r="B76" s="6" t="s">
        <v>129</v>
      </c>
      <c r="C76" s="6" t="s">
        <v>137</v>
      </c>
      <c r="D76" s="6" t="s">
        <v>138</v>
      </c>
      <c r="E76" s="7">
        <v>17.75</v>
      </c>
      <c r="F76" s="7">
        <v>55.5</v>
      </c>
      <c r="G76" s="7">
        <v>162.5</v>
      </c>
      <c r="H76" s="8">
        <v>2</v>
      </c>
      <c r="N76" t="b">
        <v>0</v>
      </c>
      <c r="O76" t="b">
        <v>0</v>
      </c>
      <c r="P76" t="b">
        <v>0</v>
      </c>
      <c r="Q76" t="b">
        <v>0</v>
      </c>
      <c r="R76">
        <v>0</v>
      </c>
      <c r="T76">
        <v>0</v>
      </c>
      <c r="V76">
        <v>0</v>
      </c>
    </row>
    <row r="77" spans="1:22" x14ac:dyDescent="0.25">
      <c r="A77" s="6" t="s">
        <v>5</v>
      </c>
      <c r="B77" s="6" t="s">
        <v>154</v>
      </c>
      <c r="C77" s="6" t="s">
        <v>23</v>
      </c>
      <c r="D77" s="6" t="s">
        <v>155</v>
      </c>
      <c r="E77" s="7">
        <v>1.75</v>
      </c>
      <c r="F77" s="7">
        <v>5.5</v>
      </c>
      <c r="G77" s="7">
        <v>14.75</v>
      </c>
      <c r="H77" s="8">
        <v>2</v>
      </c>
      <c r="N77" t="b">
        <v>0</v>
      </c>
      <c r="O77" t="b">
        <v>0</v>
      </c>
      <c r="P77" t="b">
        <v>0</v>
      </c>
      <c r="Q77" t="b">
        <v>0</v>
      </c>
      <c r="R77">
        <v>0</v>
      </c>
      <c r="T77">
        <v>0</v>
      </c>
      <c r="V77">
        <v>0</v>
      </c>
    </row>
    <row r="78" spans="1:22" x14ac:dyDescent="0.25">
      <c r="A78" s="6" t="s">
        <v>103</v>
      </c>
      <c r="B78" s="6" t="s">
        <v>104</v>
      </c>
      <c r="C78" s="6" t="s">
        <v>108</v>
      </c>
      <c r="D78" s="6" t="s">
        <v>110</v>
      </c>
      <c r="E78" s="7">
        <v>22.5</v>
      </c>
      <c r="F78" s="7">
        <v>56</v>
      </c>
      <c r="G78" s="7">
        <v>160</v>
      </c>
      <c r="H78" s="8">
        <v>3</v>
      </c>
      <c r="N78" t="b">
        <v>0</v>
      </c>
      <c r="O78" t="b">
        <v>0</v>
      </c>
      <c r="P78" t="b">
        <v>0</v>
      </c>
      <c r="Q78" t="b">
        <v>0</v>
      </c>
      <c r="R78">
        <v>0</v>
      </c>
      <c r="T78">
        <v>0</v>
      </c>
      <c r="V78">
        <v>0</v>
      </c>
    </row>
    <row r="79" spans="1:22" x14ac:dyDescent="0.25">
      <c r="A79" s="6" t="s">
        <v>79</v>
      </c>
      <c r="B79" s="6" t="s">
        <v>121</v>
      </c>
      <c r="C79" s="6" t="s">
        <v>74</v>
      </c>
      <c r="D79" s="6" t="s">
        <v>118</v>
      </c>
      <c r="E79" s="7">
        <v>6.75</v>
      </c>
      <c r="F79" s="7">
        <v>22.5</v>
      </c>
      <c r="G79" s="7">
        <v>68.25</v>
      </c>
      <c r="H79" s="8">
        <v>2</v>
      </c>
      <c r="N79" t="b">
        <v>0</v>
      </c>
      <c r="O79" t="b">
        <v>0</v>
      </c>
      <c r="P79" t="b">
        <v>0</v>
      </c>
      <c r="Q79" t="b">
        <v>0</v>
      </c>
      <c r="R79">
        <v>0</v>
      </c>
      <c r="T79">
        <v>0</v>
      </c>
      <c r="V79">
        <v>0</v>
      </c>
    </row>
    <row r="80" spans="1:22" x14ac:dyDescent="0.25">
      <c r="A80" s="6" t="s">
        <v>79</v>
      </c>
      <c r="B80" s="6" t="s">
        <v>129</v>
      </c>
      <c r="C80" s="6" t="s">
        <v>130</v>
      </c>
      <c r="D80" s="6" t="s">
        <v>131</v>
      </c>
      <c r="E80" s="7">
        <v>20.25</v>
      </c>
      <c r="F80" s="7">
        <v>59.75</v>
      </c>
      <c r="G80" s="7">
        <v>170</v>
      </c>
      <c r="H80" s="8">
        <v>1</v>
      </c>
      <c r="N80" t="b">
        <v>1</v>
      </c>
      <c r="O80" t="b">
        <v>0</v>
      </c>
      <c r="P80" t="b">
        <v>0</v>
      </c>
      <c r="Q80" t="b">
        <v>0</v>
      </c>
      <c r="R80">
        <v>0</v>
      </c>
      <c r="T80">
        <v>0</v>
      </c>
      <c r="V80">
        <v>0</v>
      </c>
    </row>
    <row r="81" spans="1:22" x14ac:dyDescent="0.25">
      <c r="A81" s="6" t="s">
        <v>16</v>
      </c>
      <c r="B81" s="6" t="s">
        <v>17</v>
      </c>
      <c r="C81" s="6" t="s">
        <v>147</v>
      </c>
      <c r="D81" s="6" t="s">
        <v>152</v>
      </c>
      <c r="E81" s="7">
        <v>3.5</v>
      </c>
      <c r="F81" s="7">
        <v>12.75</v>
      </c>
      <c r="G81" s="7">
        <v>35.75</v>
      </c>
      <c r="H81" s="8">
        <v>24</v>
      </c>
      <c r="N81" t="b">
        <v>1</v>
      </c>
      <c r="O81" t="b">
        <v>0</v>
      </c>
      <c r="P81" t="b">
        <v>0</v>
      </c>
      <c r="Q81" t="b">
        <v>0</v>
      </c>
      <c r="R81">
        <v>0</v>
      </c>
      <c r="T81">
        <v>0</v>
      </c>
      <c r="V81">
        <v>0</v>
      </c>
    </row>
    <row r="82" spans="1:22" x14ac:dyDescent="0.25">
      <c r="A82" s="6" t="s">
        <v>16</v>
      </c>
      <c r="B82" s="6" t="s">
        <v>19</v>
      </c>
      <c r="C82" s="6" t="s">
        <v>147</v>
      </c>
      <c r="D82" s="6" t="s">
        <v>148</v>
      </c>
      <c r="E82" s="7">
        <v>12.75</v>
      </c>
      <c r="F82" s="7">
        <v>42.5</v>
      </c>
      <c r="G82" s="7">
        <v>125</v>
      </c>
      <c r="H82" s="8">
        <v>7</v>
      </c>
      <c r="N82" t="b">
        <v>1</v>
      </c>
      <c r="O82" t="b">
        <v>0</v>
      </c>
      <c r="P82" t="b">
        <v>0</v>
      </c>
      <c r="Q82" t="b">
        <v>0</v>
      </c>
      <c r="R82">
        <v>0</v>
      </c>
      <c r="T82">
        <v>0</v>
      </c>
      <c r="V82">
        <v>0</v>
      </c>
    </row>
    <row r="83" spans="1:22" x14ac:dyDescent="0.25">
      <c r="A83" s="6" t="s">
        <v>12</v>
      </c>
      <c r="B83" s="6" t="s">
        <v>13</v>
      </c>
      <c r="C83" s="6" t="s">
        <v>173</v>
      </c>
      <c r="D83" s="6" t="s">
        <v>174</v>
      </c>
      <c r="E83" s="7">
        <v>8.75</v>
      </c>
      <c r="F83" s="7">
        <v>29.5</v>
      </c>
      <c r="G83" s="7">
        <v>92</v>
      </c>
      <c r="H83" s="8">
        <v>2</v>
      </c>
    </row>
    <row r="84" spans="1:22" x14ac:dyDescent="0.25">
      <c r="A84" s="6" t="s">
        <v>12</v>
      </c>
      <c r="B84" s="6" t="s">
        <v>13</v>
      </c>
      <c r="C84" s="6" t="s">
        <v>173</v>
      </c>
      <c r="D84" s="6" t="s">
        <v>175</v>
      </c>
      <c r="E84" s="7">
        <v>13.75</v>
      </c>
      <c r="F84" s="7">
        <v>45</v>
      </c>
      <c r="G84" s="7">
        <v>127.5</v>
      </c>
      <c r="H84" s="8">
        <v>3</v>
      </c>
    </row>
    <row r="85" spans="1:22" x14ac:dyDescent="0.25">
      <c r="A85" s="6" t="s">
        <v>12</v>
      </c>
      <c r="B85" s="6" t="s">
        <v>13</v>
      </c>
      <c r="C85" s="6" t="s">
        <v>176</v>
      </c>
      <c r="D85" s="6" t="s">
        <v>174</v>
      </c>
      <c r="E85" s="7">
        <v>7.5</v>
      </c>
      <c r="F85" s="7">
        <v>24.5</v>
      </c>
      <c r="G85" s="7">
        <v>82.75</v>
      </c>
      <c r="H85" s="8">
        <v>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169-062C-46A9-BDBB-B859515C8D10}">
  <sheetPr codeName="Sheet3"/>
  <dimension ref="A1:H81"/>
  <sheetViews>
    <sheetView workbookViewId="0">
      <selection activeCell="J9" sqref="J9"/>
    </sheetView>
  </sheetViews>
  <sheetFormatPr defaultRowHeight="15" x14ac:dyDescent="0.25"/>
  <cols>
    <col min="1" max="1" width="22.5703125" bestFit="1" customWidth="1"/>
    <col min="2" max="2" width="22.42578125" bestFit="1" customWidth="1"/>
    <col min="3" max="3" width="14.28515625" bestFit="1" customWidth="1"/>
    <col min="4" max="4" width="11.7109375" bestFit="1" customWidth="1"/>
    <col min="5" max="5" width="12.28515625" bestFit="1" customWidth="1"/>
    <col min="6" max="6" width="13.5703125" bestFit="1" customWidth="1"/>
    <col min="7" max="7" width="15" bestFit="1" customWidth="1"/>
    <col min="8" max="8" width="7.85546875" bestFit="1" customWidth="1"/>
  </cols>
  <sheetData>
    <row r="1" spans="1:8" x14ac:dyDescent="0.25">
      <c r="A1" s="1" t="s">
        <v>1</v>
      </c>
      <c r="B1" s="1" t="s">
        <v>4</v>
      </c>
      <c r="C1" s="1" t="s">
        <v>2</v>
      </c>
      <c r="D1" s="1" t="s">
        <v>26</v>
      </c>
      <c r="E1" s="1" t="s">
        <v>160</v>
      </c>
      <c r="F1" s="1" t="s">
        <v>161</v>
      </c>
      <c r="G1" s="1" t="s">
        <v>162</v>
      </c>
      <c r="H1" s="1" t="s">
        <v>30</v>
      </c>
    </row>
    <row r="2" spans="1:8" x14ac:dyDescent="0.25">
      <c r="A2" t="s">
        <v>3</v>
      </c>
      <c r="B2" t="s">
        <v>9</v>
      </c>
      <c r="C2" t="s">
        <v>10</v>
      </c>
      <c r="D2" t="s">
        <v>11</v>
      </c>
      <c r="E2" s="11">
        <v>12.45</v>
      </c>
      <c r="F2" s="11">
        <v>42.5</v>
      </c>
      <c r="G2" s="11">
        <v>125</v>
      </c>
      <c r="H2" s="8">
        <v>3</v>
      </c>
    </row>
    <row r="3" spans="1:8" x14ac:dyDescent="0.25">
      <c r="A3" t="s">
        <v>5</v>
      </c>
      <c r="B3" t="s">
        <v>6</v>
      </c>
      <c r="C3" t="s">
        <v>7</v>
      </c>
      <c r="D3" t="s">
        <v>8</v>
      </c>
      <c r="E3" s="11">
        <v>8.25</v>
      </c>
      <c r="F3" s="11">
        <v>34.5</v>
      </c>
      <c r="G3" s="11">
        <v>109</v>
      </c>
      <c r="H3" s="8">
        <v>2</v>
      </c>
    </row>
    <row r="4" spans="1:8" x14ac:dyDescent="0.25">
      <c r="A4" t="s">
        <v>12</v>
      </c>
      <c r="B4" t="s">
        <v>13</v>
      </c>
      <c r="C4" t="s">
        <v>14</v>
      </c>
      <c r="D4" t="s">
        <v>15</v>
      </c>
      <c r="E4" s="11">
        <v>7.25</v>
      </c>
      <c r="F4" s="11">
        <v>29.5</v>
      </c>
      <c r="G4" s="11">
        <v>95</v>
      </c>
      <c r="H4" s="8">
        <v>1</v>
      </c>
    </row>
    <row r="5" spans="1:8" x14ac:dyDescent="0.25">
      <c r="A5" t="s">
        <v>16</v>
      </c>
      <c r="B5" t="s">
        <v>17</v>
      </c>
      <c r="C5" t="s">
        <v>20</v>
      </c>
      <c r="D5" t="s">
        <v>18</v>
      </c>
      <c r="E5" s="11">
        <v>3.25</v>
      </c>
      <c r="F5" s="11">
        <v>12.5</v>
      </c>
      <c r="G5" s="11">
        <v>24.75</v>
      </c>
      <c r="H5" s="8">
        <v>50</v>
      </c>
    </row>
    <row r="6" spans="1:8" x14ac:dyDescent="0.25">
      <c r="A6" t="s">
        <v>16</v>
      </c>
      <c r="B6" t="s">
        <v>19</v>
      </c>
      <c r="C6" t="s">
        <v>20</v>
      </c>
      <c r="D6" t="s">
        <v>21</v>
      </c>
      <c r="E6" s="11">
        <v>6.95</v>
      </c>
      <c r="F6" s="11">
        <v>29.75</v>
      </c>
      <c r="G6" s="11">
        <v>87.5</v>
      </c>
      <c r="H6" s="8">
        <v>20</v>
      </c>
    </row>
    <row r="7" spans="1:8" x14ac:dyDescent="0.25">
      <c r="A7" t="s">
        <v>5</v>
      </c>
      <c r="B7" t="s">
        <v>22</v>
      </c>
      <c r="C7" t="s">
        <v>23</v>
      </c>
      <c r="D7" t="s">
        <v>18</v>
      </c>
      <c r="E7" s="11">
        <v>1.75</v>
      </c>
      <c r="F7" s="11">
        <v>7.5</v>
      </c>
      <c r="G7" s="11">
        <v>19.25</v>
      </c>
      <c r="H7" s="8">
        <v>5</v>
      </c>
    </row>
    <row r="8" spans="1:8" x14ac:dyDescent="0.25">
      <c r="A8" t="s">
        <v>3</v>
      </c>
      <c r="B8" t="s">
        <v>72</v>
      </c>
      <c r="C8" t="s">
        <v>124</v>
      </c>
      <c r="D8" t="s">
        <v>73</v>
      </c>
      <c r="E8" s="11">
        <v>10.75</v>
      </c>
      <c r="F8" s="11">
        <v>38.75</v>
      </c>
      <c r="G8" s="11">
        <v>123</v>
      </c>
      <c r="H8" s="8">
        <v>2</v>
      </c>
    </row>
    <row r="9" spans="1:8" x14ac:dyDescent="0.25">
      <c r="A9" t="s">
        <v>24</v>
      </c>
      <c r="B9" t="s">
        <v>58</v>
      </c>
      <c r="C9" t="s">
        <v>25</v>
      </c>
      <c r="D9" t="s">
        <v>27</v>
      </c>
      <c r="E9" s="11">
        <v>35.75</v>
      </c>
      <c r="F9" s="11">
        <v>125</v>
      </c>
      <c r="G9" s="11">
        <v>375</v>
      </c>
      <c r="H9" s="8">
        <v>2</v>
      </c>
    </row>
    <row r="10" spans="1:8" x14ac:dyDescent="0.25">
      <c r="A10" t="s">
        <v>24</v>
      </c>
      <c r="B10" t="s">
        <v>28</v>
      </c>
      <c r="C10" t="s">
        <v>25</v>
      </c>
      <c r="D10" t="s">
        <v>29</v>
      </c>
      <c r="E10" s="11">
        <v>42.5</v>
      </c>
      <c r="F10" s="11">
        <v>139</v>
      </c>
      <c r="G10" s="11">
        <v>408</v>
      </c>
      <c r="H10" s="8">
        <v>1</v>
      </c>
    </row>
    <row r="11" spans="1:8" x14ac:dyDescent="0.25">
      <c r="A11" t="s">
        <v>3</v>
      </c>
      <c r="B11" t="s">
        <v>88</v>
      </c>
      <c r="C11" t="s">
        <v>10</v>
      </c>
      <c r="D11" t="s">
        <v>146</v>
      </c>
      <c r="E11" s="11">
        <v>9.75</v>
      </c>
      <c r="F11" s="11">
        <v>35.5</v>
      </c>
      <c r="G11" s="11">
        <v>113</v>
      </c>
      <c r="H11" s="8">
        <v>3</v>
      </c>
    </row>
    <row r="12" spans="1:8" x14ac:dyDescent="0.25">
      <c r="A12" t="s">
        <v>31</v>
      </c>
      <c r="B12" t="s">
        <v>32</v>
      </c>
      <c r="C12" t="s">
        <v>33</v>
      </c>
      <c r="D12" t="s">
        <v>34</v>
      </c>
      <c r="E12" s="11" t="s">
        <v>151</v>
      </c>
      <c r="F12" s="11">
        <v>125</v>
      </c>
      <c r="G12" s="11">
        <v>425</v>
      </c>
      <c r="H12" s="8">
        <v>2</v>
      </c>
    </row>
    <row r="13" spans="1:8" x14ac:dyDescent="0.25">
      <c r="A13" t="s">
        <v>31</v>
      </c>
      <c r="B13" t="s">
        <v>32</v>
      </c>
      <c r="C13" t="s">
        <v>33</v>
      </c>
      <c r="D13" t="s">
        <v>35</v>
      </c>
      <c r="E13" s="11" t="s">
        <v>151</v>
      </c>
      <c r="F13" s="11">
        <v>75</v>
      </c>
      <c r="G13" s="11">
        <v>230</v>
      </c>
      <c r="H13" s="8">
        <v>1</v>
      </c>
    </row>
    <row r="14" spans="1:8" x14ac:dyDescent="0.25">
      <c r="A14" t="s">
        <v>31</v>
      </c>
      <c r="B14" t="s">
        <v>32</v>
      </c>
      <c r="C14" t="s">
        <v>33</v>
      </c>
      <c r="D14" t="s">
        <v>36</v>
      </c>
      <c r="E14" s="11" t="s">
        <v>151</v>
      </c>
      <c r="F14" s="11">
        <v>195</v>
      </c>
      <c r="G14" s="11">
        <v>645</v>
      </c>
      <c r="H14" s="8">
        <v>1</v>
      </c>
    </row>
    <row r="15" spans="1:8" x14ac:dyDescent="0.25">
      <c r="A15" t="s">
        <v>24</v>
      </c>
      <c r="B15" t="s">
        <v>58</v>
      </c>
      <c r="C15" t="s">
        <v>25</v>
      </c>
      <c r="D15" t="s">
        <v>59</v>
      </c>
      <c r="E15" s="11">
        <v>54</v>
      </c>
      <c r="F15" s="11">
        <v>175</v>
      </c>
      <c r="G15" s="11">
        <v>525</v>
      </c>
      <c r="H15" s="8">
        <v>2</v>
      </c>
    </row>
    <row r="16" spans="1:8" x14ac:dyDescent="0.25">
      <c r="A16" t="s">
        <v>24</v>
      </c>
      <c r="B16" t="s">
        <v>58</v>
      </c>
      <c r="C16" t="s">
        <v>57</v>
      </c>
      <c r="D16" t="s">
        <v>60</v>
      </c>
      <c r="E16" s="11">
        <v>42.5</v>
      </c>
      <c r="F16" s="11">
        <v>160</v>
      </c>
      <c r="G16" s="11">
        <v>475</v>
      </c>
      <c r="H16" s="8">
        <v>1</v>
      </c>
    </row>
    <row r="17" spans="1:8" x14ac:dyDescent="0.25">
      <c r="A17" t="s">
        <v>37</v>
      </c>
      <c r="B17" t="s">
        <v>38</v>
      </c>
      <c r="C17" t="s">
        <v>74</v>
      </c>
      <c r="D17" t="s">
        <v>149</v>
      </c>
      <c r="E17" s="11">
        <v>15.25</v>
      </c>
      <c r="F17" s="11">
        <v>45.75</v>
      </c>
      <c r="G17" s="11">
        <v>150</v>
      </c>
      <c r="H17" s="8">
        <v>2</v>
      </c>
    </row>
    <row r="18" spans="1:8" x14ac:dyDescent="0.25">
      <c r="A18" t="s">
        <v>39</v>
      </c>
      <c r="B18" t="s">
        <v>40</v>
      </c>
      <c r="C18" t="s">
        <v>74</v>
      </c>
      <c r="D18" t="s">
        <v>150</v>
      </c>
      <c r="E18" s="11">
        <v>16.75</v>
      </c>
      <c r="F18" s="11">
        <v>49.5</v>
      </c>
      <c r="G18" s="11">
        <v>165</v>
      </c>
      <c r="H18" s="8">
        <v>3</v>
      </c>
    </row>
    <row r="19" spans="1:8" x14ac:dyDescent="0.25">
      <c r="A19" t="s">
        <v>12</v>
      </c>
      <c r="B19" t="s">
        <v>41</v>
      </c>
      <c r="C19" t="s">
        <v>42</v>
      </c>
      <c r="D19" t="s">
        <v>43</v>
      </c>
      <c r="E19" s="11">
        <v>11.25</v>
      </c>
      <c r="F19" s="11">
        <v>35.25</v>
      </c>
      <c r="G19" s="11">
        <v>115</v>
      </c>
      <c r="H19" s="8">
        <v>12</v>
      </c>
    </row>
    <row r="20" spans="1:8" x14ac:dyDescent="0.25">
      <c r="A20" t="s">
        <v>12</v>
      </c>
      <c r="B20" t="s">
        <v>44</v>
      </c>
      <c r="C20" t="s">
        <v>42</v>
      </c>
      <c r="D20" t="s">
        <v>45</v>
      </c>
      <c r="E20" s="11">
        <v>9.75</v>
      </c>
      <c r="F20" s="11">
        <v>27.5</v>
      </c>
      <c r="G20" s="11">
        <v>95</v>
      </c>
      <c r="H20" s="8">
        <v>3</v>
      </c>
    </row>
    <row r="21" spans="1:8" x14ac:dyDescent="0.25">
      <c r="A21" t="s">
        <v>3</v>
      </c>
      <c r="B21" t="s">
        <v>46</v>
      </c>
      <c r="C21" t="s">
        <v>124</v>
      </c>
      <c r="D21" t="s">
        <v>49</v>
      </c>
      <c r="E21" s="11">
        <v>8.75</v>
      </c>
      <c r="F21" s="11">
        <v>34.5</v>
      </c>
      <c r="G21" s="11">
        <v>110</v>
      </c>
      <c r="H21" s="8">
        <v>1</v>
      </c>
    </row>
    <row r="22" spans="1:8" x14ac:dyDescent="0.25">
      <c r="A22" t="s">
        <v>3</v>
      </c>
      <c r="B22" t="s">
        <v>46</v>
      </c>
      <c r="C22" t="s">
        <v>124</v>
      </c>
      <c r="D22" t="s">
        <v>50</v>
      </c>
      <c r="E22" s="11">
        <v>10.25</v>
      </c>
      <c r="F22" s="11">
        <v>38.75</v>
      </c>
      <c r="G22" s="11">
        <v>129.75</v>
      </c>
      <c r="H22" s="8">
        <v>2</v>
      </c>
    </row>
    <row r="23" spans="1:8" x14ac:dyDescent="0.25">
      <c r="A23" t="s">
        <v>3</v>
      </c>
      <c r="B23" t="s">
        <v>46</v>
      </c>
      <c r="C23" t="s">
        <v>51</v>
      </c>
      <c r="D23" t="s">
        <v>52</v>
      </c>
      <c r="E23" s="11">
        <v>9.75</v>
      </c>
      <c r="F23" s="11">
        <v>36.5</v>
      </c>
      <c r="G23" s="11">
        <v>120</v>
      </c>
      <c r="H23" s="8">
        <v>1</v>
      </c>
    </row>
    <row r="24" spans="1:8" x14ac:dyDescent="0.25">
      <c r="A24" t="s">
        <v>24</v>
      </c>
      <c r="B24" t="s">
        <v>53</v>
      </c>
      <c r="C24" t="s">
        <v>25</v>
      </c>
      <c r="D24" t="s">
        <v>54</v>
      </c>
      <c r="E24" s="11">
        <v>85</v>
      </c>
      <c r="F24" s="11">
        <v>250</v>
      </c>
      <c r="G24" s="11">
        <v>875</v>
      </c>
      <c r="H24" s="8">
        <v>1</v>
      </c>
    </row>
    <row r="25" spans="1:8" x14ac:dyDescent="0.25">
      <c r="A25" t="s">
        <v>24</v>
      </c>
      <c r="B25" t="s">
        <v>55</v>
      </c>
      <c r="C25" t="s">
        <v>25</v>
      </c>
      <c r="D25" t="s">
        <v>56</v>
      </c>
      <c r="E25" s="11">
        <v>125</v>
      </c>
      <c r="F25" s="11">
        <v>375</v>
      </c>
      <c r="G25" s="11">
        <v>1175</v>
      </c>
      <c r="H25" s="8">
        <v>1</v>
      </c>
    </row>
    <row r="26" spans="1:8" x14ac:dyDescent="0.25">
      <c r="A26" t="s">
        <v>24</v>
      </c>
      <c r="B26" t="s">
        <v>61</v>
      </c>
      <c r="C26" t="s">
        <v>57</v>
      </c>
      <c r="D26" t="s">
        <v>62</v>
      </c>
      <c r="E26" s="11">
        <v>45</v>
      </c>
      <c r="F26" s="11">
        <v>175</v>
      </c>
      <c r="G26" s="11">
        <v>525</v>
      </c>
      <c r="H26" s="8">
        <v>2</v>
      </c>
    </row>
    <row r="27" spans="1:8" x14ac:dyDescent="0.25">
      <c r="A27" t="s">
        <v>39</v>
      </c>
      <c r="B27" t="s">
        <v>65</v>
      </c>
      <c r="C27" t="s">
        <v>10</v>
      </c>
      <c r="D27" t="s">
        <v>139</v>
      </c>
      <c r="E27" s="11">
        <v>7.25</v>
      </c>
      <c r="F27" s="11">
        <v>29.75</v>
      </c>
      <c r="G27" s="11">
        <v>87.5</v>
      </c>
      <c r="H27" s="8">
        <v>3</v>
      </c>
    </row>
    <row r="28" spans="1:8" x14ac:dyDescent="0.25">
      <c r="A28" t="s">
        <v>63</v>
      </c>
      <c r="B28" t="s">
        <v>64</v>
      </c>
      <c r="C28" t="s">
        <v>74</v>
      </c>
      <c r="D28" t="s">
        <v>140</v>
      </c>
      <c r="E28" s="11">
        <v>8.75</v>
      </c>
      <c r="F28" s="11">
        <v>33.5</v>
      </c>
      <c r="G28" s="11">
        <v>105</v>
      </c>
      <c r="H28" s="8">
        <v>2</v>
      </c>
    </row>
    <row r="29" spans="1:8" x14ac:dyDescent="0.25">
      <c r="A29" t="s">
        <v>39</v>
      </c>
      <c r="B29" t="s">
        <v>85</v>
      </c>
      <c r="C29" t="s">
        <v>83</v>
      </c>
      <c r="D29" t="s">
        <v>141</v>
      </c>
      <c r="E29" s="11">
        <v>12.5</v>
      </c>
      <c r="F29" s="11">
        <v>38.75</v>
      </c>
      <c r="G29" s="11">
        <v>125</v>
      </c>
      <c r="H29" s="8">
        <v>2</v>
      </c>
    </row>
    <row r="30" spans="1:8" x14ac:dyDescent="0.25">
      <c r="A30" t="s">
        <v>69</v>
      </c>
      <c r="B30" t="s">
        <v>94</v>
      </c>
      <c r="C30" t="s">
        <v>10</v>
      </c>
      <c r="D30" t="s">
        <v>91</v>
      </c>
      <c r="E30" s="11">
        <v>13.5</v>
      </c>
      <c r="F30" s="11">
        <v>42.5</v>
      </c>
      <c r="G30" s="11">
        <v>130</v>
      </c>
      <c r="H30" s="8">
        <v>3</v>
      </c>
    </row>
    <row r="31" spans="1:8" x14ac:dyDescent="0.25">
      <c r="A31" t="s">
        <v>63</v>
      </c>
      <c r="B31" t="s">
        <v>67</v>
      </c>
      <c r="C31" t="s">
        <v>74</v>
      </c>
      <c r="D31" t="s">
        <v>142</v>
      </c>
      <c r="E31" s="11">
        <v>13.75</v>
      </c>
      <c r="F31" s="11">
        <v>41.75</v>
      </c>
      <c r="G31" s="11">
        <v>125</v>
      </c>
      <c r="H31" s="8">
        <v>1</v>
      </c>
    </row>
    <row r="32" spans="1:8" x14ac:dyDescent="0.25">
      <c r="A32" t="s">
        <v>3</v>
      </c>
      <c r="B32" t="s">
        <v>89</v>
      </c>
      <c r="C32" t="s">
        <v>70</v>
      </c>
      <c r="D32" t="s">
        <v>90</v>
      </c>
      <c r="E32" s="11">
        <v>12.5</v>
      </c>
      <c r="F32" s="11">
        <v>36.75</v>
      </c>
      <c r="G32" s="11">
        <v>117.5</v>
      </c>
      <c r="H32" s="8">
        <v>1</v>
      </c>
    </row>
    <row r="33" spans="1:8" x14ac:dyDescent="0.25">
      <c r="A33" t="s">
        <v>39</v>
      </c>
      <c r="B33" t="s">
        <v>66</v>
      </c>
      <c r="C33" t="s">
        <v>74</v>
      </c>
      <c r="D33" t="s">
        <v>143</v>
      </c>
      <c r="E33" s="11">
        <v>15.5</v>
      </c>
      <c r="F33" s="11">
        <v>44.75</v>
      </c>
      <c r="G33" s="11">
        <v>132</v>
      </c>
      <c r="H33" s="8">
        <v>2</v>
      </c>
    </row>
    <row r="34" spans="1:8" x14ac:dyDescent="0.25">
      <c r="A34" t="s">
        <v>79</v>
      </c>
      <c r="B34" t="s">
        <v>126</v>
      </c>
      <c r="C34" t="s">
        <v>127</v>
      </c>
      <c r="D34" t="s">
        <v>128</v>
      </c>
      <c r="E34" s="11">
        <v>7.5</v>
      </c>
      <c r="F34" s="11">
        <v>23.75</v>
      </c>
      <c r="G34" s="11">
        <v>65</v>
      </c>
      <c r="H34" s="8">
        <v>5</v>
      </c>
    </row>
    <row r="35" spans="1:8" x14ac:dyDescent="0.25">
      <c r="A35" t="s">
        <v>69</v>
      </c>
      <c r="B35" t="s">
        <v>145</v>
      </c>
      <c r="C35" t="s">
        <v>70</v>
      </c>
      <c r="D35" t="s">
        <v>182</v>
      </c>
      <c r="E35" s="11">
        <v>12.5</v>
      </c>
      <c r="F35" s="11">
        <v>35.25</v>
      </c>
      <c r="G35" s="11">
        <v>97.5</v>
      </c>
      <c r="H35" s="8">
        <v>1</v>
      </c>
    </row>
    <row r="36" spans="1:8" x14ac:dyDescent="0.25">
      <c r="A36" t="s">
        <v>69</v>
      </c>
      <c r="B36" t="s">
        <v>68</v>
      </c>
      <c r="C36" t="s">
        <v>10</v>
      </c>
      <c r="D36" t="s">
        <v>146</v>
      </c>
      <c r="E36" s="11">
        <v>11.75</v>
      </c>
      <c r="F36" s="11">
        <v>33.75</v>
      </c>
      <c r="G36" s="11">
        <v>92.5</v>
      </c>
      <c r="H36" s="8">
        <v>2</v>
      </c>
    </row>
    <row r="37" spans="1:8" x14ac:dyDescent="0.25">
      <c r="A37" t="s">
        <v>69</v>
      </c>
      <c r="B37" t="s">
        <v>71</v>
      </c>
      <c r="C37" t="s">
        <v>70</v>
      </c>
      <c r="D37" t="s">
        <v>144</v>
      </c>
      <c r="E37" s="11">
        <v>14.5</v>
      </c>
      <c r="F37" s="11">
        <v>40.75</v>
      </c>
      <c r="G37" s="11">
        <v>125</v>
      </c>
      <c r="H37" s="8">
        <v>1</v>
      </c>
    </row>
    <row r="38" spans="1:8" x14ac:dyDescent="0.25">
      <c r="A38" t="s">
        <v>69</v>
      </c>
      <c r="B38" t="s">
        <v>71</v>
      </c>
      <c r="C38" t="s">
        <v>10</v>
      </c>
      <c r="D38" t="s">
        <v>146</v>
      </c>
      <c r="E38" s="11">
        <v>13.75</v>
      </c>
      <c r="F38" s="11">
        <v>37.75</v>
      </c>
      <c r="G38" s="11">
        <v>120</v>
      </c>
      <c r="H38" s="8">
        <v>1</v>
      </c>
    </row>
    <row r="39" spans="1:8" x14ac:dyDescent="0.25">
      <c r="A39" t="s">
        <v>75</v>
      </c>
      <c r="B39" t="s">
        <v>76</v>
      </c>
      <c r="C39" t="s">
        <v>74</v>
      </c>
      <c r="D39" t="s">
        <v>77</v>
      </c>
      <c r="E39" s="11">
        <v>2.5</v>
      </c>
      <c r="F39" s="11">
        <v>8.25</v>
      </c>
      <c r="G39" s="11">
        <v>22.5</v>
      </c>
      <c r="H39" s="8">
        <v>150</v>
      </c>
    </row>
    <row r="40" spans="1:8" x14ac:dyDescent="0.25">
      <c r="A40" t="s">
        <v>75</v>
      </c>
      <c r="B40" t="s">
        <v>78</v>
      </c>
      <c r="C40" t="s">
        <v>74</v>
      </c>
      <c r="D40" t="s">
        <v>152</v>
      </c>
      <c r="E40" s="11" t="s">
        <v>151</v>
      </c>
      <c r="F40" s="11">
        <v>1.25</v>
      </c>
      <c r="G40" s="11">
        <v>4.25</v>
      </c>
      <c r="H40" s="8">
        <v>232</v>
      </c>
    </row>
    <row r="41" spans="1:8" x14ac:dyDescent="0.25">
      <c r="A41" t="s">
        <v>79</v>
      </c>
      <c r="B41" t="s">
        <v>111</v>
      </c>
      <c r="C41" t="s">
        <v>112</v>
      </c>
      <c r="D41" t="s">
        <v>113</v>
      </c>
      <c r="E41" s="11">
        <v>10.5</v>
      </c>
      <c r="F41" s="11">
        <v>35.75</v>
      </c>
      <c r="G41" s="11">
        <v>95.25</v>
      </c>
      <c r="H41" s="8">
        <v>2</v>
      </c>
    </row>
    <row r="42" spans="1:8" x14ac:dyDescent="0.25">
      <c r="A42" t="s">
        <v>79</v>
      </c>
      <c r="B42" t="s">
        <v>111</v>
      </c>
      <c r="C42" t="s">
        <v>114</v>
      </c>
      <c r="D42" t="s">
        <v>113</v>
      </c>
      <c r="E42" s="11">
        <v>8.75</v>
      </c>
      <c r="F42" s="11">
        <v>32.5</v>
      </c>
      <c r="G42" s="11">
        <v>89.75</v>
      </c>
      <c r="H42" s="8">
        <v>1</v>
      </c>
    </row>
    <row r="43" spans="1:8" x14ac:dyDescent="0.25">
      <c r="A43" t="s">
        <v>3</v>
      </c>
      <c r="B43" t="s">
        <v>99</v>
      </c>
      <c r="C43" t="s">
        <v>74</v>
      </c>
      <c r="D43" t="s">
        <v>101</v>
      </c>
      <c r="E43" s="11">
        <v>3.5</v>
      </c>
      <c r="F43" s="11">
        <v>10</v>
      </c>
      <c r="G43" s="11">
        <v>32.25</v>
      </c>
      <c r="H43" s="8">
        <v>3</v>
      </c>
    </row>
    <row r="44" spans="1:8" x14ac:dyDescent="0.25">
      <c r="A44" t="s">
        <v>79</v>
      </c>
      <c r="B44" t="s">
        <v>115</v>
      </c>
      <c r="C44" t="s">
        <v>112</v>
      </c>
      <c r="D44" t="s">
        <v>113</v>
      </c>
      <c r="E44" s="11">
        <v>9.25</v>
      </c>
      <c r="F44" s="11">
        <v>33.5</v>
      </c>
      <c r="G44" s="11">
        <v>92.25</v>
      </c>
      <c r="H44" s="8">
        <v>2</v>
      </c>
    </row>
    <row r="45" spans="1:8" x14ac:dyDescent="0.25">
      <c r="A45" t="s">
        <v>80</v>
      </c>
      <c r="B45" t="s">
        <v>134</v>
      </c>
      <c r="C45" t="s">
        <v>135</v>
      </c>
      <c r="D45" t="s">
        <v>169</v>
      </c>
      <c r="E45" s="11">
        <v>15.75</v>
      </c>
      <c r="F45" s="11">
        <v>45</v>
      </c>
      <c r="G45" s="11">
        <v>124.5</v>
      </c>
      <c r="H45" s="8">
        <v>1</v>
      </c>
    </row>
    <row r="46" spans="1:8" x14ac:dyDescent="0.25">
      <c r="A46" t="s">
        <v>103</v>
      </c>
      <c r="B46" t="s">
        <v>104</v>
      </c>
      <c r="C46" t="s">
        <v>108</v>
      </c>
      <c r="D46" t="s">
        <v>109</v>
      </c>
      <c r="E46" s="11">
        <v>8.75</v>
      </c>
      <c r="F46" s="11">
        <v>31</v>
      </c>
      <c r="G46" s="11">
        <v>93.5</v>
      </c>
      <c r="H46" s="8">
        <v>2</v>
      </c>
    </row>
    <row r="47" spans="1:8" x14ac:dyDescent="0.25">
      <c r="A47" t="s">
        <v>3</v>
      </c>
      <c r="B47" t="s">
        <v>84</v>
      </c>
      <c r="C47" t="s">
        <v>83</v>
      </c>
      <c r="D47" t="s">
        <v>170</v>
      </c>
      <c r="E47" s="11">
        <v>9.75</v>
      </c>
      <c r="F47" s="11">
        <v>32.25</v>
      </c>
      <c r="G47" s="11">
        <v>87.75</v>
      </c>
      <c r="H47" s="8">
        <v>2</v>
      </c>
    </row>
    <row r="48" spans="1:8" x14ac:dyDescent="0.25">
      <c r="A48" t="s">
        <v>3</v>
      </c>
      <c r="B48" t="s">
        <v>84</v>
      </c>
      <c r="C48" t="s">
        <v>83</v>
      </c>
      <c r="D48" t="s">
        <v>132</v>
      </c>
      <c r="E48" s="11">
        <v>8.5</v>
      </c>
      <c r="F48" s="11">
        <v>28.75</v>
      </c>
      <c r="G48" s="11">
        <v>82</v>
      </c>
      <c r="H48" s="8">
        <v>1</v>
      </c>
    </row>
    <row r="49" spans="1:8" x14ac:dyDescent="0.25">
      <c r="A49" t="s">
        <v>3</v>
      </c>
      <c r="B49" t="s">
        <v>84</v>
      </c>
      <c r="C49" t="s">
        <v>10</v>
      </c>
      <c r="D49" t="s">
        <v>132</v>
      </c>
      <c r="E49" s="11">
        <v>7.75</v>
      </c>
      <c r="F49" s="11">
        <v>26.5</v>
      </c>
      <c r="G49" s="11">
        <v>77.5</v>
      </c>
      <c r="H49" s="8">
        <v>1</v>
      </c>
    </row>
    <row r="50" spans="1:8" x14ac:dyDescent="0.25">
      <c r="A50" t="s">
        <v>3</v>
      </c>
      <c r="B50" t="s">
        <v>87</v>
      </c>
      <c r="C50" t="s">
        <v>83</v>
      </c>
      <c r="D50" t="s">
        <v>171</v>
      </c>
      <c r="E50" s="11">
        <v>9.5</v>
      </c>
      <c r="F50" s="11">
        <v>30.75</v>
      </c>
      <c r="G50" s="11">
        <v>89.75</v>
      </c>
      <c r="H50" s="8">
        <v>3</v>
      </c>
    </row>
    <row r="51" spans="1:8" x14ac:dyDescent="0.25">
      <c r="A51" t="s">
        <v>3</v>
      </c>
      <c r="B51" t="s">
        <v>87</v>
      </c>
      <c r="C51" t="s">
        <v>10</v>
      </c>
      <c r="D51" t="s">
        <v>172</v>
      </c>
      <c r="E51" s="11">
        <v>9</v>
      </c>
      <c r="F51" s="11">
        <v>28.5</v>
      </c>
      <c r="G51" s="11">
        <v>85.25</v>
      </c>
      <c r="H51" s="8">
        <v>2</v>
      </c>
    </row>
    <row r="52" spans="1:8" x14ac:dyDescent="0.25">
      <c r="A52" t="s">
        <v>3</v>
      </c>
      <c r="B52" t="s">
        <v>88</v>
      </c>
      <c r="C52" t="s">
        <v>83</v>
      </c>
      <c r="D52" t="s">
        <v>171</v>
      </c>
      <c r="E52" s="11">
        <v>11.25</v>
      </c>
      <c r="F52" s="11">
        <v>36.75</v>
      </c>
      <c r="G52" s="11">
        <v>121</v>
      </c>
      <c r="H52" s="8">
        <v>1</v>
      </c>
    </row>
    <row r="53" spans="1:8" x14ac:dyDescent="0.25">
      <c r="A53" t="s">
        <v>80</v>
      </c>
      <c r="B53" t="s">
        <v>81</v>
      </c>
      <c r="C53" t="s">
        <v>86</v>
      </c>
      <c r="D53" t="s">
        <v>47</v>
      </c>
      <c r="E53" s="11">
        <v>13.25</v>
      </c>
      <c r="F53" s="11">
        <v>41</v>
      </c>
      <c r="G53" s="11">
        <v>138.75</v>
      </c>
      <c r="H53" s="8">
        <v>2</v>
      </c>
    </row>
    <row r="54" spans="1:8" x14ac:dyDescent="0.25">
      <c r="A54" t="s">
        <v>80</v>
      </c>
      <c r="B54" t="s">
        <v>82</v>
      </c>
      <c r="C54" t="s">
        <v>86</v>
      </c>
      <c r="D54" t="s">
        <v>48</v>
      </c>
      <c r="E54" s="11">
        <v>18.75</v>
      </c>
      <c r="F54" s="11">
        <v>51.25</v>
      </c>
      <c r="G54" s="11">
        <v>150</v>
      </c>
      <c r="H54" s="8">
        <v>1</v>
      </c>
    </row>
    <row r="55" spans="1:8" x14ac:dyDescent="0.25">
      <c r="A55" t="s">
        <v>80</v>
      </c>
      <c r="B55" t="s">
        <v>168</v>
      </c>
      <c r="C55" t="s">
        <v>74</v>
      </c>
      <c r="D55" t="s">
        <v>125</v>
      </c>
      <c r="E55" s="11">
        <v>12.25</v>
      </c>
      <c r="F55" s="11">
        <v>34.5</v>
      </c>
      <c r="G55" s="11">
        <v>131.75</v>
      </c>
      <c r="H55" s="8">
        <v>1</v>
      </c>
    </row>
    <row r="56" spans="1:8" x14ac:dyDescent="0.25">
      <c r="A56" t="s">
        <v>80</v>
      </c>
      <c r="B56" t="s">
        <v>167</v>
      </c>
      <c r="C56" t="s">
        <v>83</v>
      </c>
      <c r="D56" t="s">
        <v>132</v>
      </c>
      <c r="E56" s="11">
        <v>10.5</v>
      </c>
      <c r="F56" s="11">
        <v>34.25</v>
      </c>
      <c r="G56" s="11">
        <v>130</v>
      </c>
      <c r="H56" s="8">
        <v>2</v>
      </c>
    </row>
    <row r="57" spans="1:8" x14ac:dyDescent="0.25">
      <c r="A57" t="s">
        <v>69</v>
      </c>
      <c r="B57" t="s">
        <v>94</v>
      </c>
      <c r="C57" t="s">
        <v>86</v>
      </c>
      <c r="D57" t="s">
        <v>91</v>
      </c>
      <c r="E57" s="11">
        <v>12.25</v>
      </c>
      <c r="F57" s="11">
        <v>37.5</v>
      </c>
      <c r="G57" s="11">
        <v>127.5</v>
      </c>
      <c r="H57" s="8">
        <v>2</v>
      </c>
    </row>
    <row r="58" spans="1:8" x14ac:dyDescent="0.25">
      <c r="A58" t="s">
        <v>79</v>
      </c>
      <c r="B58" t="s">
        <v>116</v>
      </c>
      <c r="C58" t="s">
        <v>74</v>
      </c>
      <c r="D58" t="s">
        <v>117</v>
      </c>
      <c r="E58" s="11">
        <v>6.75</v>
      </c>
      <c r="F58" s="11">
        <v>20.75</v>
      </c>
      <c r="G58" s="11">
        <v>75</v>
      </c>
      <c r="H58" s="8">
        <v>3</v>
      </c>
    </row>
    <row r="59" spans="1:8" x14ac:dyDescent="0.25">
      <c r="A59" t="s">
        <v>79</v>
      </c>
      <c r="B59" t="s">
        <v>116</v>
      </c>
      <c r="C59" t="s">
        <v>112</v>
      </c>
      <c r="D59" t="s">
        <v>118</v>
      </c>
      <c r="E59" s="11">
        <v>6.25</v>
      </c>
      <c r="F59" s="11">
        <v>19.5</v>
      </c>
      <c r="G59" s="11">
        <v>72</v>
      </c>
      <c r="H59" s="8">
        <v>2</v>
      </c>
    </row>
    <row r="60" spans="1:8" x14ac:dyDescent="0.25">
      <c r="A60" t="s">
        <v>80</v>
      </c>
      <c r="B60" t="s">
        <v>136</v>
      </c>
      <c r="C60" t="s">
        <v>135</v>
      </c>
      <c r="D60" t="s">
        <v>47</v>
      </c>
      <c r="E60" s="11">
        <v>22.25</v>
      </c>
      <c r="F60" s="11">
        <v>65</v>
      </c>
      <c r="G60" s="11">
        <v>175</v>
      </c>
      <c r="H60" s="8">
        <v>1</v>
      </c>
    </row>
    <row r="61" spans="1:8" x14ac:dyDescent="0.25">
      <c r="A61" t="s">
        <v>69</v>
      </c>
      <c r="B61" t="s">
        <v>94</v>
      </c>
      <c r="C61" t="s">
        <v>92</v>
      </c>
      <c r="D61" t="s">
        <v>93</v>
      </c>
      <c r="E61" s="11">
        <v>10.5</v>
      </c>
      <c r="F61" s="11">
        <v>34.25</v>
      </c>
      <c r="G61" s="11">
        <v>119.75</v>
      </c>
      <c r="H61" s="8">
        <v>1</v>
      </c>
    </row>
    <row r="62" spans="1:8" x14ac:dyDescent="0.25">
      <c r="A62" t="s">
        <v>5</v>
      </c>
      <c r="B62" t="s">
        <v>6</v>
      </c>
      <c r="C62" t="s">
        <v>74</v>
      </c>
      <c r="D62" t="s">
        <v>95</v>
      </c>
      <c r="E62" s="11">
        <v>5.25</v>
      </c>
      <c r="F62" s="11">
        <v>16.25</v>
      </c>
      <c r="G62" s="11">
        <v>49.75</v>
      </c>
      <c r="H62" s="8">
        <v>4</v>
      </c>
    </row>
    <row r="63" spans="1:8" x14ac:dyDescent="0.25">
      <c r="A63" t="s">
        <v>5</v>
      </c>
      <c r="B63" t="s">
        <v>96</v>
      </c>
      <c r="C63" t="s">
        <v>74</v>
      </c>
      <c r="D63" t="s">
        <v>97</v>
      </c>
      <c r="E63" s="11">
        <v>6.25</v>
      </c>
      <c r="F63" s="11">
        <v>18.25</v>
      </c>
      <c r="G63" s="11">
        <v>52</v>
      </c>
      <c r="H63" s="8">
        <v>2</v>
      </c>
    </row>
    <row r="64" spans="1:8" x14ac:dyDescent="0.25">
      <c r="A64" t="s">
        <v>5</v>
      </c>
      <c r="B64" t="s">
        <v>98</v>
      </c>
      <c r="C64" t="s">
        <v>74</v>
      </c>
      <c r="D64" t="s">
        <v>18</v>
      </c>
      <c r="E64" s="11">
        <v>4.75</v>
      </c>
      <c r="F64" s="11">
        <v>14.75</v>
      </c>
      <c r="G64" s="11">
        <v>36.5</v>
      </c>
      <c r="H64" s="8">
        <v>2</v>
      </c>
    </row>
    <row r="65" spans="1:8" x14ac:dyDescent="0.25">
      <c r="A65" t="s">
        <v>80</v>
      </c>
      <c r="B65" t="s">
        <v>168</v>
      </c>
      <c r="C65" t="s">
        <v>10</v>
      </c>
      <c r="D65" t="s">
        <v>123</v>
      </c>
      <c r="E65" s="11">
        <v>15.25</v>
      </c>
      <c r="F65" s="11">
        <v>49.75</v>
      </c>
      <c r="G65" s="11">
        <v>147.5</v>
      </c>
      <c r="H65" s="8">
        <v>2</v>
      </c>
    </row>
    <row r="66" spans="1:8" x14ac:dyDescent="0.25">
      <c r="A66" t="s">
        <v>3</v>
      </c>
      <c r="B66" t="s">
        <v>99</v>
      </c>
      <c r="C66" t="s">
        <v>124</v>
      </c>
      <c r="D66" t="s">
        <v>100</v>
      </c>
      <c r="E66" s="11">
        <v>2.25</v>
      </c>
      <c r="F66" s="11">
        <v>6.5</v>
      </c>
      <c r="G66" s="11">
        <v>18.75</v>
      </c>
      <c r="H66" s="8">
        <v>4</v>
      </c>
    </row>
    <row r="67" spans="1:8" x14ac:dyDescent="0.25">
      <c r="A67" t="s">
        <v>103</v>
      </c>
      <c r="B67" t="s">
        <v>102</v>
      </c>
      <c r="C67" t="s">
        <v>105</v>
      </c>
      <c r="D67" t="s">
        <v>107</v>
      </c>
      <c r="E67" s="11">
        <v>17.5</v>
      </c>
      <c r="F67" s="11">
        <v>63.25</v>
      </c>
      <c r="G67" s="11">
        <v>195</v>
      </c>
      <c r="H67" s="8">
        <v>2</v>
      </c>
    </row>
    <row r="68" spans="1:8" x14ac:dyDescent="0.25">
      <c r="A68" t="s">
        <v>103</v>
      </c>
      <c r="B68" t="s">
        <v>102</v>
      </c>
      <c r="C68" t="s">
        <v>10</v>
      </c>
      <c r="D68" t="s">
        <v>106</v>
      </c>
      <c r="E68" s="11">
        <v>23.75</v>
      </c>
      <c r="F68" s="11">
        <v>72.5</v>
      </c>
      <c r="G68" s="11">
        <v>225</v>
      </c>
      <c r="H68" s="8">
        <v>1</v>
      </c>
    </row>
    <row r="69" spans="1:8" x14ac:dyDescent="0.25">
      <c r="A69" t="s">
        <v>79</v>
      </c>
      <c r="B69" t="s">
        <v>119</v>
      </c>
      <c r="C69" t="s">
        <v>74</v>
      </c>
      <c r="D69" t="s">
        <v>122</v>
      </c>
      <c r="E69" s="11">
        <v>5.5</v>
      </c>
      <c r="F69" s="11">
        <v>17.75</v>
      </c>
      <c r="G69" s="11">
        <v>55</v>
      </c>
      <c r="H69" s="8">
        <v>2</v>
      </c>
    </row>
    <row r="70" spans="1:8" x14ac:dyDescent="0.25">
      <c r="A70" t="s">
        <v>79</v>
      </c>
      <c r="B70" t="s">
        <v>120</v>
      </c>
      <c r="C70" t="s">
        <v>92</v>
      </c>
      <c r="D70" t="s">
        <v>153</v>
      </c>
      <c r="E70" s="11">
        <v>4.25</v>
      </c>
      <c r="F70" s="11">
        <v>14.25</v>
      </c>
      <c r="G70" s="11">
        <v>42.75</v>
      </c>
      <c r="H70" s="8">
        <v>1</v>
      </c>
    </row>
    <row r="71" spans="1:8" x14ac:dyDescent="0.25">
      <c r="A71" t="s">
        <v>80</v>
      </c>
      <c r="B71" t="s">
        <v>167</v>
      </c>
      <c r="C71" t="s">
        <v>10</v>
      </c>
      <c r="D71" t="s">
        <v>133</v>
      </c>
      <c r="E71" s="11">
        <v>12.25</v>
      </c>
      <c r="F71" s="11">
        <v>34.75</v>
      </c>
      <c r="G71" s="11">
        <v>101</v>
      </c>
      <c r="H71" s="8">
        <v>2</v>
      </c>
    </row>
    <row r="72" spans="1:8" x14ac:dyDescent="0.25">
      <c r="A72" t="s">
        <v>79</v>
      </c>
      <c r="B72" t="s">
        <v>129</v>
      </c>
      <c r="C72" t="s">
        <v>137</v>
      </c>
      <c r="D72" t="s">
        <v>138</v>
      </c>
      <c r="E72" s="11">
        <v>17.75</v>
      </c>
      <c r="F72" s="11">
        <v>55.5</v>
      </c>
      <c r="G72" s="11">
        <v>162.5</v>
      </c>
      <c r="H72" s="8">
        <v>2</v>
      </c>
    </row>
    <row r="73" spans="1:8" x14ac:dyDescent="0.25">
      <c r="A73" t="s">
        <v>5</v>
      </c>
      <c r="B73" t="s">
        <v>154</v>
      </c>
      <c r="C73" t="s">
        <v>23</v>
      </c>
      <c r="D73" t="s">
        <v>155</v>
      </c>
      <c r="E73" s="11">
        <v>1.75</v>
      </c>
      <c r="F73" s="11">
        <v>5.5</v>
      </c>
      <c r="G73" s="11">
        <v>14.75</v>
      </c>
      <c r="H73" s="8">
        <v>2</v>
      </c>
    </row>
    <row r="74" spans="1:8" x14ac:dyDescent="0.25">
      <c r="A74" t="s">
        <v>103</v>
      </c>
      <c r="B74" t="s">
        <v>104</v>
      </c>
      <c r="C74" t="s">
        <v>108</v>
      </c>
      <c r="D74" t="s">
        <v>110</v>
      </c>
      <c r="E74" s="11">
        <v>22.5</v>
      </c>
      <c r="F74" s="11">
        <v>56</v>
      </c>
      <c r="G74" s="11">
        <v>160</v>
      </c>
      <c r="H74" s="8">
        <v>3</v>
      </c>
    </row>
    <row r="75" spans="1:8" x14ac:dyDescent="0.25">
      <c r="A75" t="s">
        <v>79</v>
      </c>
      <c r="B75" t="s">
        <v>121</v>
      </c>
      <c r="C75" t="s">
        <v>74</v>
      </c>
      <c r="D75" t="s">
        <v>118</v>
      </c>
      <c r="E75" s="11">
        <v>6.75</v>
      </c>
      <c r="F75" s="11">
        <v>22.5</v>
      </c>
      <c r="G75" s="11">
        <v>68.25</v>
      </c>
      <c r="H75" s="8">
        <v>2</v>
      </c>
    </row>
    <row r="76" spans="1:8" x14ac:dyDescent="0.25">
      <c r="A76" t="s">
        <v>79</v>
      </c>
      <c r="B76" t="s">
        <v>129</v>
      </c>
      <c r="C76" t="s">
        <v>130</v>
      </c>
      <c r="D76" t="s">
        <v>131</v>
      </c>
      <c r="E76" s="11">
        <v>20.25</v>
      </c>
      <c r="F76" s="11">
        <v>59.75</v>
      </c>
      <c r="G76" s="11">
        <v>170</v>
      </c>
      <c r="H76" s="8">
        <v>1</v>
      </c>
    </row>
    <row r="77" spans="1:8" x14ac:dyDescent="0.25">
      <c r="A77" t="s">
        <v>16</v>
      </c>
      <c r="B77" t="s">
        <v>17</v>
      </c>
      <c r="C77" t="s">
        <v>147</v>
      </c>
      <c r="D77" t="s">
        <v>152</v>
      </c>
      <c r="E77" s="11">
        <v>3.5</v>
      </c>
      <c r="F77" s="11">
        <v>12.75</v>
      </c>
      <c r="G77" s="11">
        <v>35.75</v>
      </c>
      <c r="H77" s="8">
        <v>24</v>
      </c>
    </row>
    <row r="78" spans="1:8" x14ac:dyDescent="0.25">
      <c r="A78" t="s">
        <v>16</v>
      </c>
      <c r="B78" t="s">
        <v>19</v>
      </c>
      <c r="C78" t="s">
        <v>147</v>
      </c>
      <c r="D78" t="s">
        <v>148</v>
      </c>
      <c r="E78" s="11">
        <v>12.75</v>
      </c>
      <c r="F78" s="11">
        <v>42.5</v>
      </c>
      <c r="G78" s="11">
        <v>125</v>
      </c>
      <c r="H78" s="8">
        <v>7</v>
      </c>
    </row>
    <row r="79" spans="1:8" x14ac:dyDescent="0.25">
      <c r="A79" t="s">
        <v>12</v>
      </c>
      <c r="B79" t="s">
        <v>13</v>
      </c>
      <c r="C79" t="s">
        <v>173</v>
      </c>
      <c r="D79" t="s">
        <v>174</v>
      </c>
      <c r="E79" s="11">
        <v>8.75</v>
      </c>
      <c r="F79" s="11">
        <v>29.5</v>
      </c>
      <c r="G79" s="11">
        <v>92</v>
      </c>
      <c r="H79" s="8">
        <v>2</v>
      </c>
    </row>
    <row r="80" spans="1:8" x14ac:dyDescent="0.25">
      <c r="A80" t="s">
        <v>12</v>
      </c>
      <c r="B80" t="s">
        <v>13</v>
      </c>
      <c r="C80" t="s">
        <v>173</v>
      </c>
      <c r="D80" t="s">
        <v>175</v>
      </c>
      <c r="E80" s="11">
        <v>13.75</v>
      </c>
      <c r="F80" s="11">
        <v>45</v>
      </c>
      <c r="G80" s="11">
        <v>127.5</v>
      </c>
      <c r="H80" s="8">
        <v>3</v>
      </c>
    </row>
    <row r="81" spans="1:8" x14ac:dyDescent="0.25">
      <c r="A81" t="s">
        <v>12</v>
      </c>
      <c r="B81" t="s">
        <v>13</v>
      </c>
      <c r="C81" t="s">
        <v>176</v>
      </c>
      <c r="D81" t="s">
        <v>174</v>
      </c>
      <c r="E81" s="11">
        <v>7.5</v>
      </c>
      <c r="F81" s="11">
        <v>24.5</v>
      </c>
      <c r="G81" s="11">
        <v>82.75</v>
      </c>
      <c r="H81" s="8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Inventory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2021-01-20T15:31:44Z</dcterms:created>
  <dcterms:modified xsi:type="dcterms:W3CDTF">2021-12-21T13:43:01Z</dcterms:modified>
</cp:coreProperties>
</file>