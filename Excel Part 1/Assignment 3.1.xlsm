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5QOOub2yQsqDjrm9sgLKZA_13735a4de48d4a64aea6d539cab74bd8_Assignment-3\Assignment 3\"/>
    </mc:Choice>
  </mc:AlternateContent>
  <xr:revisionPtr revIDLastSave="0" documentId="8_{EE7C2766-9464-4A0C-B05B-07D30C373B24}" xr6:coauthVersionLast="47" xr6:coauthVersionMax="47" xr10:uidLastSave="{00000000-0000-0000-0000-000000000000}"/>
  <bookViews>
    <workbookView xWindow="-120" yWindow="-120" windowWidth="20730" windowHeight="11160" xr2:uid="{E7653B44-75B0-430C-AB68-382A82F160B4}"/>
  </bookViews>
  <sheets>
    <sheet name="Sheet1" sheetId="1" r:id="rId1"/>
    <sheet name="Original data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0" i="1" l="1" a="1"/>
  <c r="L10" i="1" s="1"/>
  <c r="I9" i="1"/>
  <c r="I8" i="1"/>
  <c r="I7" i="1"/>
  <c r="I15" i="1"/>
  <c r="I1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<sst xmlns="http://schemas.openxmlformats.org/spreadsheetml/2006/main" count="194" uniqueCount="44">
  <si>
    <t>Date</t>
  </si>
  <si>
    <t>Store</t>
  </si>
  <si>
    <t>Category</t>
  </si>
  <si>
    <t>Groceries</t>
  </si>
  <si>
    <t>Automotive</t>
  </si>
  <si>
    <t>Henry's Car Parts</t>
  </si>
  <si>
    <t>Restaurants</t>
  </si>
  <si>
    <t>Gas</t>
  </si>
  <si>
    <t>Hardware</t>
  </si>
  <si>
    <t>Viking Hardware</t>
  </si>
  <si>
    <t>Moe's Market</t>
  </si>
  <si>
    <t>Pets</t>
  </si>
  <si>
    <t>The Otter Side</t>
  </si>
  <si>
    <t>Korner Mart</t>
  </si>
  <si>
    <t>Town Market</t>
  </si>
  <si>
    <t>Kwik Way</t>
  </si>
  <si>
    <t>Yolanda's</t>
  </si>
  <si>
    <t>Vinnie's</t>
  </si>
  <si>
    <t>Cup 'o Joe</t>
  </si>
  <si>
    <t>Barstucks</t>
  </si>
  <si>
    <t>Penny's Pets</t>
  </si>
  <si>
    <t>Otto's Auto Mart</t>
  </si>
  <si>
    <t>Clothing</t>
  </si>
  <si>
    <t>Retro Outfits</t>
  </si>
  <si>
    <t>Sid's Socks</t>
  </si>
  <si>
    <t>Pants "R" Us</t>
  </si>
  <si>
    <t>Grocer Griff</t>
  </si>
  <si>
    <t>Kip's Koffee Beans</t>
  </si>
  <si>
    <t>Date:</t>
  </si>
  <si>
    <t>Total expenses:</t>
  </si>
  <si>
    <t>Max expense:</t>
  </si>
  <si>
    <t>Category:</t>
  </si>
  <si>
    <t>Amount</t>
  </si>
  <si>
    <t>Number of transactions:</t>
  </si>
  <si>
    <t>Store:</t>
  </si>
  <si>
    <t>PART A: TRANSACTION LOOKUP</t>
  </si>
  <si>
    <t>*Do NOT change the location</t>
  </si>
  <si>
    <t>of any of the cells in columns</t>
  </si>
  <si>
    <t>F through I!</t>
  </si>
  <si>
    <t>*Be sure to RESET data using</t>
  </si>
  <si>
    <t>the button below BEFORE clicking</t>
  </si>
  <si>
    <t>TRANSACTION LOOKUP</t>
  </si>
  <si>
    <t>the "Check Part 3.1" button!</t>
  </si>
  <si>
    <t>of any of the cells in column I!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</si>
</sst>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applyBorder="1"/>
    <xf numFmtId="44" fontId="0" fillId="0" borderId="0" xfId="1" applyFont="1" applyBorder="1"/>
    <xf numFmtId="14" fontId="0" fillId="0" borderId="0" xfId="0" applyNumberFormat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2" fillId="0" borderId="0" xfId="0" applyFont="1" applyBorder="1"/>
    <xf numFmtId="44" fontId="0" fillId="3" borderId="1" xfId="1" applyFont="1" applyFill="1" applyBorder="1"/>
    <xf numFmtId="0" fontId="0" fillId="3" borderId="1" xfId="0" applyFill="1" applyBorder="1"/>
    <xf numFmtId="14" fontId="0" fillId="2" borderId="1" xfId="0" applyNumberFormat="1" applyFill="1" applyBorder="1"/>
    <xf numFmtId="0" fontId="0" fillId="2" borderId="1" xfId="0" applyFill="1" applyBorder="1"/>
    <xf numFmtId="44" fontId="0" fillId="0" borderId="0" xfId="0" applyNumberFormat="1" applyBorder="1"/>
    <xf numFmtId="0" fontId="3" fillId="0" borderId="0" xfId="0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16</xdr:row>
          <xdr:rowOff>76200</xdr:rowOff>
        </xdr:from>
        <xdr:to>
          <xdr:col>7</xdr:col>
          <xdr:colOff>476250</xdr:colOff>
          <xdr:row>18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Part 3.1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20</xdr:row>
          <xdr:rowOff>133350</xdr:rowOff>
        </xdr:from>
        <xdr:to>
          <xdr:col>7</xdr:col>
          <xdr:colOff>533400</xdr:colOff>
          <xdr:row>23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 (columns A --&gt; 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75E32-9C0E-4000-A69C-B2D27EB3429C}">
  <sheetPr codeName="Sheet1"/>
  <dimension ref="A1:L57"/>
  <sheetViews>
    <sheetView tabSelected="1" topLeftCell="A3" workbookViewId="0">
      <selection activeCell="L10" sqref="L10"/>
    </sheetView>
  </sheetViews>
  <sheetFormatPr defaultRowHeight="15" x14ac:dyDescent="0.25"/>
  <cols>
    <col min="1" max="1" width="9.28515625" bestFit="1" customWidth="1"/>
    <col min="2" max="2" width="16.42578125" bestFit="1" customWidth="1"/>
    <col min="3" max="3" width="10.140625" bestFit="1" customWidth="1"/>
    <col min="5" max="5" width="9.28515625" bestFit="1" customWidth="1"/>
    <col min="9" max="9" width="11.5703125" bestFit="1" customWidth="1"/>
  </cols>
  <sheetData>
    <row r="1" spans="1:12" x14ac:dyDescent="0.25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2" x14ac:dyDescent="0.25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</row>
    <row r="3" spans="1:12" x14ac:dyDescent="0.25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2" x14ac:dyDescent="0.25">
      <c r="A4" s="3">
        <v>43832</v>
      </c>
      <c r="B4" s="1" t="s">
        <v>10</v>
      </c>
      <c r="C4" s="1" t="s">
        <v>3</v>
      </c>
      <c r="D4" s="2">
        <v>45.19</v>
      </c>
      <c r="E4" s="1"/>
      <c r="F4" s="12" t="s">
        <v>41</v>
      </c>
      <c r="G4" s="12"/>
      <c r="H4" s="12"/>
      <c r="I4" s="12"/>
      <c r="J4" s="1"/>
      <c r="K4" s="1"/>
    </row>
    <row r="5" spans="1:12" x14ac:dyDescent="0.25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2" x14ac:dyDescent="0.25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43832</v>
      </c>
      <c r="J6" s="1"/>
      <c r="K6" s="1" t="s">
        <v>36</v>
      </c>
    </row>
    <row r="7" spans="1:12" x14ac:dyDescent="0.25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7">
        <f>SUMIF(A2:A42,I6,D2:D42)</f>
        <v>45.19</v>
      </c>
      <c r="J7" s="1"/>
      <c r="K7" s="1" t="s">
        <v>43</v>
      </c>
    </row>
    <row r="8" spans="1:12" x14ac:dyDescent="0.25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>
        <f>COUNTIF(A2:A42,I6)</f>
        <v>1</v>
      </c>
      <c r="J8" s="1"/>
      <c r="K8" s="1"/>
    </row>
    <row r="9" spans="1:12" x14ac:dyDescent="0.25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7">
        <f>_xlfn.MAXIFS(D2:D42,A2:A42,I6)</f>
        <v>45.19</v>
      </c>
      <c r="J9" s="1"/>
    </row>
    <row r="10" spans="1:12" x14ac:dyDescent="0.25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J10" s="1"/>
      <c r="K10" s="1"/>
      <c r="L10" cm="1">
        <f t="array" ref="L10">MAX(IF(A2:A40=I6,D2:D40,0))</f>
        <v>45.19</v>
      </c>
    </row>
    <row r="11" spans="1:12" x14ac:dyDescent="0.25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2" x14ac:dyDescent="0.25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>
        <f>SUMIF(C2:C42,I11,D2:D42)</f>
        <v>367.15999999999997</v>
      </c>
      <c r="J12" s="1"/>
      <c r="K12" s="1"/>
    </row>
    <row r="13" spans="1:12" x14ac:dyDescent="0.25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J13" s="1"/>
      <c r="K13" s="1"/>
    </row>
    <row r="14" spans="1:12" x14ac:dyDescent="0.25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19</v>
      </c>
      <c r="J14" s="1"/>
      <c r="K14" s="1"/>
    </row>
    <row r="15" spans="1:12" x14ac:dyDescent="0.25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>
        <f>SUMIF(B2:B42,I14,D2:D42)</f>
        <v>9.7200000000000006</v>
      </c>
      <c r="J15" s="1"/>
      <c r="K15" s="1"/>
    </row>
    <row r="16" spans="1:12" x14ac:dyDescent="0.25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1" x14ac:dyDescent="0.25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1" x14ac:dyDescent="0.25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 t="s">
        <v>39</v>
      </c>
      <c r="J18" s="1"/>
      <c r="K18" s="1"/>
    </row>
    <row r="19" spans="1:11" x14ac:dyDescent="0.25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 t="s">
        <v>40</v>
      </c>
      <c r="J19" s="1"/>
      <c r="K19" s="1"/>
    </row>
    <row r="20" spans="1:11" x14ac:dyDescent="0.25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 t="s">
        <v>42</v>
      </c>
      <c r="J20" s="1"/>
      <c r="K20" s="1"/>
    </row>
    <row r="21" spans="1:11" x14ac:dyDescent="0.25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1" x14ac:dyDescent="0.25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1" x14ac:dyDescent="0.25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1" x14ac:dyDescent="0.25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1" x14ac:dyDescent="0.25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1" x14ac:dyDescent="0.25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1" x14ac:dyDescent="0.25">
      <c r="A27" s="3">
        <v>43851</v>
      </c>
      <c r="B27" s="1" t="s">
        <v>20</v>
      </c>
      <c r="C27" s="1" t="s">
        <v>11</v>
      </c>
      <c r="D27" s="2">
        <v>18.43</v>
      </c>
      <c r="E27" s="1"/>
      <c r="F27" s="11"/>
      <c r="G27" s="1"/>
      <c r="H27" s="1"/>
      <c r="I27" s="1"/>
      <c r="J27" s="1"/>
      <c r="K27" s="1"/>
    </row>
    <row r="28" spans="1:11" x14ac:dyDescent="0.25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1" x14ac:dyDescent="0.25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1" x14ac:dyDescent="0.25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1" x14ac:dyDescent="0.25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1" x14ac:dyDescent="0.25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25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25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25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25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25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25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25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25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6</xdr:col>
                    <xdr:colOff>123825</xdr:colOff>
                    <xdr:row>16</xdr:row>
                    <xdr:rowOff>76200</xdr:rowOff>
                  </from>
                  <to>
                    <xdr:col>7</xdr:col>
                    <xdr:colOff>476250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5</xdr:col>
                    <xdr:colOff>628650</xdr:colOff>
                    <xdr:row>20</xdr:row>
                    <xdr:rowOff>133350</xdr:rowOff>
                  </from>
                  <to>
                    <xdr:col>7</xdr:col>
                    <xdr:colOff>533400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6E1E-FD70-42EA-AB25-00864861774C}">
  <sheetPr codeName="Sheet2"/>
  <dimension ref="A1:K57"/>
  <sheetViews>
    <sheetView workbookViewId="0">
      <selection activeCell="D1" sqref="A1:D1048576"/>
    </sheetView>
  </sheetViews>
  <sheetFormatPr defaultRowHeight="15" x14ac:dyDescent="0.25"/>
  <cols>
    <col min="1" max="1" width="9.28515625" bestFit="1" customWidth="1"/>
    <col min="2" max="2" width="16.42578125" bestFit="1" customWidth="1"/>
    <col min="3" max="3" width="10.140625" bestFit="1" customWidth="1"/>
    <col min="5" max="5" width="9.28515625" bestFit="1" customWidth="1"/>
    <col min="9" max="9" width="10.42578125" bestFit="1" customWidth="1"/>
  </cols>
  <sheetData>
    <row r="1" spans="1:11" x14ac:dyDescent="0.25">
      <c r="A1" s="6" t="s">
        <v>0</v>
      </c>
      <c r="B1" s="6" t="s">
        <v>1</v>
      </c>
      <c r="C1" s="6" t="s">
        <v>2</v>
      </c>
      <c r="D1" s="6" t="s">
        <v>32</v>
      </c>
      <c r="E1" s="1"/>
      <c r="F1" s="1"/>
      <c r="G1" s="1"/>
      <c r="H1" s="1"/>
      <c r="I1" s="1"/>
      <c r="J1" s="1"/>
      <c r="K1" s="1"/>
    </row>
    <row r="2" spans="1:11" x14ac:dyDescent="0.25">
      <c r="A2" s="3">
        <v>43831</v>
      </c>
      <c r="B2" s="1" t="s">
        <v>18</v>
      </c>
      <c r="C2" s="1" t="s">
        <v>6</v>
      </c>
      <c r="D2" s="2">
        <v>2.35</v>
      </c>
      <c r="E2" s="3"/>
      <c r="F2" s="1"/>
      <c r="G2" s="1"/>
      <c r="H2" s="1"/>
      <c r="I2" s="1"/>
      <c r="J2" s="1"/>
      <c r="K2" s="1"/>
    </row>
    <row r="3" spans="1:11" x14ac:dyDescent="0.25">
      <c r="A3" s="3">
        <v>43831</v>
      </c>
      <c r="B3" s="1" t="s">
        <v>5</v>
      </c>
      <c r="C3" s="1" t="s">
        <v>4</v>
      </c>
      <c r="D3" s="2">
        <v>23.87</v>
      </c>
      <c r="E3" s="3"/>
      <c r="F3" s="1"/>
      <c r="G3" s="1"/>
      <c r="H3" s="1"/>
      <c r="I3" s="1"/>
      <c r="J3" s="1"/>
      <c r="K3" s="1"/>
    </row>
    <row r="4" spans="1:11" x14ac:dyDescent="0.25">
      <c r="A4" s="3">
        <v>43832</v>
      </c>
      <c r="B4" s="1" t="s">
        <v>10</v>
      </c>
      <c r="C4" s="1" t="s">
        <v>3</v>
      </c>
      <c r="D4" s="2">
        <v>45.19</v>
      </c>
      <c r="E4" s="1"/>
      <c r="F4" s="12" t="s">
        <v>35</v>
      </c>
      <c r="G4" s="12"/>
      <c r="H4" s="12"/>
      <c r="I4" s="12"/>
      <c r="J4" s="1"/>
      <c r="K4" s="1"/>
    </row>
    <row r="5" spans="1:11" x14ac:dyDescent="0.25">
      <c r="A5" s="3">
        <v>43834</v>
      </c>
      <c r="B5" s="1" t="s">
        <v>12</v>
      </c>
      <c r="C5" s="1" t="s">
        <v>6</v>
      </c>
      <c r="D5" s="2">
        <v>32.22</v>
      </c>
      <c r="E5" s="1"/>
      <c r="F5" s="1"/>
      <c r="G5" s="1"/>
      <c r="H5" s="1"/>
      <c r="I5" s="1"/>
      <c r="J5" s="1"/>
      <c r="K5" s="1"/>
    </row>
    <row r="6" spans="1:11" x14ac:dyDescent="0.25">
      <c r="A6" s="3">
        <v>43834</v>
      </c>
      <c r="B6" s="1" t="s">
        <v>13</v>
      </c>
      <c r="C6" s="1" t="s">
        <v>7</v>
      </c>
      <c r="D6" s="2">
        <v>28.9</v>
      </c>
      <c r="E6" s="1"/>
      <c r="F6" s="1"/>
      <c r="G6" s="1"/>
      <c r="H6" s="4" t="s">
        <v>28</v>
      </c>
      <c r="I6" s="9">
        <v>43844</v>
      </c>
      <c r="J6" s="1"/>
      <c r="K6" s="1" t="s">
        <v>36</v>
      </c>
    </row>
    <row r="7" spans="1:11" x14ac:dyDescent="0.25">
      <c r="A7" s="3">
        <v>43835</v>
      </c>
      <c r="B7" s="1" t="s">
        <v>19</v>
      </c>
      <c r="C7" s="1" t="s">
        <v>6</v>
      </c>
      <c r="D7" s="2">
        <v>3.24</v>
      </c>
      <c r="E7" s="1"/>
      <c r="F7" s="1"/>
      <c r="G7" s="1"/>
      <c r="H7" s="4" t="s">
        <v>29</v>
      </c>
      <c r="I7" s="7"/>
      <c r="J7" s="1"/>
      <c r="K7" s="1" t="s">
        <v>37</v>
      </c>
    </row>
    <row r="8" spans="1:11" x14ac:dyDescent="0.25">
      <c r="A8" s="3">
        <v>43835</v>
      </c>
      <c r="B8" s="1" t="s">
        <v>9</v>
      </c>
      <c r="C8" s="1" t="s">
        <v>8</v>
      </c>
      <c r="D8" s="2">
        <v>78.12</v>
      </c>
      <c r="E8" s="1"/>
      <c r="F8" s="1"/>
      <c r="G8" s="1"/>
      <c r="H8" s="4" t="s">
        <v>33</v>
      </c>
      <c r="I8" s="8"/>
      <c r="J8" s="1"/>
      <c r="K8" s="1" t="s">
        <v>38</v>
      </c>
    </row>
    <row r="9" spans="1:11" x14ac:dyDescent="0.25">
      <c r="A9" s="3">
        <v>43835</v>
      </c>
      <c r="B9" s="1" t="s">
        <v>20</v>
      </c>
      <c r="C9" s="1" t="s">
        <v>11</v>
      </c>
      <c r="D9" s="2">
        <v>42.09</v>
      </c>
      <c r="E9" s="1"/>
      <c r="F9" s="1"/>
      <c r="G9" s="1"/>
      <c r="H9" s="4" t="s">
        <v>30</v>
      </c>
      <c r="I9" s="7"/>
      <c r="J9" s="1"/>
      <c r="K9" s="1"/>
    </row>
    <row r="10" spans="1:11" x14ac:dyDescent="0.25">
      <c r="A10" s="3">
        <v>43838</v>
      </c>
      <c r="B10" s="1" t="s">
        <v>23</v>
      </c>
      <c r="C10" s="1" t="s">
        <v>22</v>
      </c>
      <c r="D10" s="2">
        <v>56.32</v>
      </c>
      <c r="E10" s="1"/>
      <c r="F10" s="1"/>
      <c r="G10" s="1"/>
      <c r="H10" s="4"/>
      <c r="I10" s="1"/>
      <c r="J10" s="1"/>
      <c r="K10" s="1"/>
    </row>
    <row r="11" spans="1:11" x14ac:dyDescent="0.25">
      <c r="A11" s="3">
        <v>43838</v>
      </c>
      <c r="B11" s="1" t="s">
        <v>10</v>
      </c>
      <c r="C11" s="1" t="s">
        <v>3</v>
      </c>
      <c r="D11" s="2">
        <v>13.89</v>
      </c>
      <c r="E11" s="1"/>
      <c r="F11" s="1"/>
      <c r="G11" s="1"/>
      <c r="H11" s="4" t="s">
        <v>31</v>
      </c>
      <c r="I11" s="10" t="s">
        <v>3</v>
      </c>
      <c r="J11" s="1"/>
      <c r="K11" s="1"/>
    </row>
    <row r="12" spans="1:11" x14ac:dyDescent="0.25">
      <c r="A12" s="3">
        <v>43839</v>
      </c>
      <c r="B12" s="1" t="s">
        <v>18</v>
      </c>
      <c r="C12" s="1" t="s">
        <v>6</v>
      </c>
      <c r="D12" s="2">
        <v>2.35</v>
      </c>
      <c r="E12" s="1"/>
      <c r="F12" s="1"/>
      <c r="G12" s="1"/>
      <c r="H12" s="4" t="s">
        <v>29</v>
      </c>
      <c r="I12" s="7"/>
      <c r="J12" s="1"/>
      <c r="K12" s="1"/>
    </row>
    <row r="13" spans="1:11" x14ac:dyDescent="0.25">
      <c r="A13" s="3">
        <v>43840</v>
      </c>
      <c r="B13" s="1" t="s">
        <v>19</v>
      </c>
      <c r="C13" s="1" t="s">
        <v>6</v>
      </c>
      <c r="D13" s="2">
        <v>3.24</v>
      </c>
      <c r="E13" s="1"/>
      <c r="F13" s="1"/>
      <c r="G13" s="1"/>
      <c r="H13" s="5"/>
      <c r="I13" s="1"/>
      <c r="J13" s="1"/>
      <c r="K13" s="1"/>
    </row>
    <row r="14" spans="1:11" x14ac:dyDescent="0.25">
      <c r="A14" s="3">
        <v>43840</v>
      </c>
      <c r="B14" s="1" t="s">
        <v>13</v>
      </c>
      <c r="C14" s="1" t="s">
        <v>7</v>
      </c>
      <c r="D14" s="2">
        <v>19.32</v>
      </c>
      <c r="E14" s="1"/>
      <c r="F14" s="1"/>
      <c r="G14" s="1"/>
      <c r="H14" s="4" t="s">
        <v>34</v>
      </c>
      <c r="I14" s="10" t="s">
        <v>13</v>
      </c>
      <c r="J14" s="1"/>
      <c r="K14" s="1"/>
    </row>
    <row r="15" spans="1:11" x14ac:dyDescent="0.25">
      <c r="A15" s="3">
        <v>43842</v>
      </c>
      <c r="B15" s="1" t="s">
        <v>18</v>
      </c>
      <c r="C15" s="1" t="s">
        <v>6</v>
      </c>
      <c r="D15" s="2">
        <v>5.46</v>
      </c>
      <c r="E15" s="1"/>
      <c r="F15" s="1"/>
      <c r="G15" s="1"/>
      <c r="H15" s="4" t="s">
        <v>29</v>
      </c>
      <c r="I15" s="7"/>
      <c r="J15" s="1"/>
      <c r="K15" s="1"/>
    </row>
    <row r="16" spans="1:11" x14ac:dyDescent="0.25">
      <c r="A16" s="3">
        <v>43842</v>
      </c>
      <c r="B16" s="1" t="s">
        <v>16</v>
      </c>
      <c r="C16" s="1" t="s">
        <v>6</v>
      </c>
      <c r="D16" s="2">
        <v>29.01</v>
      </c>
      <c r="E16" s="1"/>
      <c r="F16" s="1"/>
      <c r="G16" s="1"/>
      <c r="H16" s="1"/>
      <c r="I16" s="1"/>
      <c r="J16" s="1"/>
      <c r="K16" s="1"/>
    </row>
    <row r="17" spans="1:11" x14ac:dyDescent="0.25">
      <c r="A17" s="3">
        <v>43843</v>
      </c>
      <c r="B17" s="1" t="s">
        <v>14</v>
      </c>
      <c r="C17" s="1" t="s">
        <v>3</v>
      </c>
      <c r="D17" s="2">
        <v>39.119999999999997</v>
      </c>
      <c r="E17" s="1"/>
      <c r="F17" s="1"/>
      <c r="G17" s="1"/>
      <c r="H17" s="1"/>
      <c r="I17" s="1"/>
      <c r="J17" s="1"/>
      <c r="K17" s="1"/>
    </row>
    <row r="18" spans="1:11" x14ac:dyDescent="0.25">
      <c r="A18" s="3">
        <v>43843</v>
      </c>
      <c r="B18" s="1" t="s">
        <v>10</v>
      </c>
      <c r="C18" s="1" t="s">
        <v>3</v>
      </c>
      <c r="D18" s="2">
        <v>87.23</v>
      </c>
      <c r="E18" s="1"/>
      <c r="F18" s="1"/>
      <c r="G18" s="1"/>
      <c r="H18" s="1"/>
      <c r="I18" s="1"/>
      <c r="J18" s="1"/>
      <c r="K18" s="1"/>
    </row>
    <row r="19" spans="1:11" x14ac:dyDescent="0.25">
      <c r="A19" s="3">
        <v>43845</v>
      </c>
      <c r="B19" s="1" t="s">
        <v>18</v>
      </c>
      <c r="C19" s="1" t="s">
        <v>6</v>
      </c>
      <c r="D19" s="2">
        <v>2.35</v>
      </c>
      <c r="E19" s="1"/>
      <c r="F19" s="1"/>
      <c r="G19" s="1"/>
      <c r="H19" s="1"/>
      <c r="I19" s="1"/>
      <c r="J19" s="1"/>
      <c r="K19" s="1"/>
    </row>
    <row r="20" spans="1:11" x14ac:dyDescent="0.25">
      <c r="A20" s="3">
        <v>43845</v>
      </c>
      <c r="B20" s="1" t="s">
        <v>13</v>
      </c>
      <c r="C20" s="1" t="s">
        <v>7</v>
      </c>
      <c r="D20" s="2">
        <v>10.08</v>
      </c>
      <c r="E20" s="1"/>
      <c r="F20" s="1"/>
      <c r="G20" s="1"/>
      <c r="H20" s="1"/>
      <c r="I20" s="1"/>
      <c r="J20" s="1"/>
      <c r="K20" s="1"/>
    </row>
    <row r="21" spans="1:11" x14ac:dyDescent="0.25">
      <c r="A21" s="3">
        <v>43846</v>
      </c>
      <c r="B21" s="1" t="s">
        <v>26</v>
      </c>
      <c r="C21" s="1" t="s">
        <v>3</v>
      </c>
      <c r="D21" s="2">
        <v>27.34</v>
      </c>
      <c r="E21" s="1"/>
      <c r="F21" s="1"/>
      <c r="G21" s="1"/>
      <c r="H21" s="1"/>
      <c r="I21" s="1"/>
      <c r="J21" s="1"/>
      <c r="K21" s="1"/>
    </row>
    <row r="22" spans="1:11" x14ac:dyDescent="0.25">
      <c r="A22" s="3">
        <v>43846</v>
      </c>
      <c r="B22" s="1" t="s">
        <v>27</v>
      </c>
      <c r="C22" s="1" t="s">
        <v>3</v>
      </c>
      <c r="D22" s="2">
        <v>13.45</v>
      </c>
      <c r="E22" s="1"/>
      <c r="F22" s="1"/>
      <c r="G22" s="1"/>
      <c r="H22" s="1"/>
      <c r="I22" s="1"/>
      <c r="J22" s="1"/>
      <c r="K22" s="1"/>
    </row>
    <row r="23" spans="1:11" x14ac:dyDescent="0.25">
      <c r="A23" s="3">
        <v>43848</v>
      </c>
      <c r="B23" s="1" t="s">
        <v>24</v>
      </c>
      <c r="C23" s="1" t="s">
        <v>22</v>
      </c>
      <c r="D23" s="2">
        <v>17.2</v>
      </c>
      <c r="E23" s="1"/>
      <c r="F23" s="1"/>
      <c r="G23" s="1"/>
      <c r="H23" s="1"/>
      <c r="I23" s="1"/>
      <c r="J23" s="1"/>
      <c r="K23" s="1"/>
    </row>
    <row r="24" spans="1:11" x14ac:dyDescent="0.25">
      <c r="A24" s="3">
        <v>43848</v>
      </c>
      <c r="B24" s="1" t="s">
        <v>14</v>
      </c>
      <c r="C24" s="1" t="s">
        <v>3</v>
      </c>
      <c r="D24" s="2">
        <v>19.84</v>
      </c>
      <c r="E24" s="1"/>
      <c r="F24" s="1"/>
      <c r="G24" s="1"/>
      <c r="H24" s="1"/>
      <c r="I24" s="1"/>
      <c r="J24" s="1"/>
      <c r="K24" s="1"/>
    </row>
    <row r="25" spans="1:11" x14ac:dyDescent="0.25">
      <c r="A25" s="3">
        <v>43849</v>
      </c>
      <c r="B25" s="1" t="s">
        <v>18</v>
      </c>
      <c r="C25" s="1" t="s">
        <v>6</v>
      </c>
      <c r="D25" s="2">
        <v>2.35</v>
      </c>
      <c r="E25" s="1"/>
      <c r="F25" s="1"/>
      <c r="G25" s="1"/>
      <c r="H25" s="1"/>
      <c r="I25" s="1"/>
      <c r="J25" s="1"/>
      <c r="K25" s="1"/>
    </row>
    <row r="26" spans="1:11" x14ac:dyDescent="0.25">
      <c r="A26" s="3">
        <v>43851</v>
      </c>
      <c r="B26" s="1" t="s">
        <v>15</v>
      </c>
      <c r="C26" s="1" t="s">
        <v>7</v>
      </c>
      <c r="D26" s="2">
        <v>12.76</v>
      </c>
      <c r="E26" s="1"/>
      <c r="F26" s="1"/>
      <c r="G26" s="1"/>
      <c r="H26" s="1"/>
      <c r="I26" s="1"/>
      <c r="J26" s="1"/>
      <c r="K26" s="1"/>
    </row>
    <row r="27" spans="1:11" x14ac:dyDescent="0.25">
      <c r="A27" s="3">
        <v>43851</v>
      </c>
      <c r="B27" s="1" t="s">
        <v>20</v>
      </c>
      <c r="C27" s="1" t="s">
        <v>11</v>
      </c>
      <c r="D27" s="2">
        <v>18.43</v>
      </c>
      <c r="E27" s="1"/>
      <c r="F27" s="1"/>
      <c r="G27" s="1"/>
      <c r="H27" s="1"/>
      <c r="I27" s="1"/>
      <c r="J27" s="1"/>
      <c r="K27" s="1"/>
    </row>
    <row r="28" spans="1:11" x14ac:dyDescent="0.25">
      <c r="A28" s="3">
        <v>43851</v>
      </c>
      <c r="B28" s="1" t="s">
        <v>10</v>
      </c>
      <c r="C28" s="1" t="s">
        <v>3</v>
      </c>
      <c r="D28" s="2">
        <v>20.87</v>
      </c>
      <c r="E28" s="1"/>
      <c r="F28" s="1"/>
      <c r="G28" s="1"/>
      <c r="H28" s="1"/>
      <c r="I28" s="1"/>
      <c r="J28" s="1"/>
      <c r="K28" s="1"/>
    </row>
    <row r="29" spans="1:11" x14ac:dyDescent="0.25">
      <c r="A29" s="3">
        <v>43853</v>
      </c>
      <c r="B29" s="1" t="s">
        <v>25</v>
      </c>
      <c r="C29" s="1" t="s">
        <v>22</v>
      </c>
      <c r="D29" s="2">
        <v>62.38</v>
      </c>
      <c r="E29" s="1"/>
      <c r="F29" s="1"/>
      <c r="G29" s="1"/>
      <c r="H29" s="1"/>
      <c r="I29" s="1"/>
      <c r="J29" s="1"/>
      <c r="K29" s="1"/>
    </row>
    <row r="30" spans="1:11" x14ac:dyDescent="0.25">
      <c r="A30" s="3">
        <v>43853</v>
      </c>
      <c r="B30" s="1" t="s">
        <v>17</v>
      </c>
      <c r="C30" s="1" t="s">
        <v>6</v>
      </c>
      <c r="D30" s="2">
        <v>45.93</v>
      </c>
      <c r="E30" s="1"/>
      <c r="F30" s="1"/>
      <c r="G30" s="1"/>
      <c r="H30" s="1"/>
      <c r="I30" s="1"/>
      <c r="J30" s="1"/>
      <c r="K30" s="1"/>
    </row>
    <row r="31" spans="1:11" x14ac:dyDescent="0.25">
      <c r="A31" s="3">
        <v>43854</v>
      </c>
      <c r="B31" s="1" t="s">
        <v>15</v>
      </c>
      <c r="C31" s="1" t="s">
        <v>7</v>
      </c>
      <c r="D31" s="2">
        <v>8.67</v>
      </c>
      <c r="E31" s="1"/>
      <c r="F31" s="1"/>
      <c r="G31" s="1"/>
      <c r="H31" s="1"/>
      <c r="I31" s="1"/>
      <c r="J31" s="1"/>
      <c r="K31" s="1"/>
    </row>
    <row r="32" spans="1:11" x14ac:dyDescent="0.25">
      <c r="A32" s="3">
        <v>43854</v>
      </c>
      <c r="B32" s="1" t="s">
        <v>21</v>
      </c>
      <c r="C32" s="1" t="s">
        <v>4</v>
      </c>
      <c r="D32" s="2">
        <v>356.12</v>
      </c>
      <c r="E32" s="1"/>
      <c r="F32" s="1"/>
      <c r="G32" s="1"/>
      <c r="H32" s="1"/>
      <c r="I32" s="1"/>
      <c r="J32" s="1"/>
      <c r="K32" s="1"/>
    </row>
    <row r="33" spans="1:11" x14ac:dyDescent="0.25">
      <c r="A33" s="3">
        <v>43856</v>
      </c>
      <c r="B33" s="1" t="s">
        <v>14</v>
      </c>
      <c r="C33" s="1" t="s">
        <v>3</v>
      </c>
      <c r="D33" s="2">
        <v>52.74</v>
      </c>
      <c r="E33" s="1"/>
      <c r="F33" s="1"/>
      <c r="G33" s="1"/>
      <c r="H33" s="1"/>
      <c r="I33" s="1"/>
      <c r="J33" s="1"/>
      <c r="K33" s="1"/>
    </row>
    <row r="34" spans="1:11" x14ac:dyDescent="0.25">
      <c r="A34" s="3">
        <v>43857</v>
      </c>
      <c r="B34" s="1" t="s">
        <v>18</v>
      </c>
      <c r="C34" s="1" t="s">
        <v>6</v>
      </c>
      <c r="D34" s="2">
        <v>10.79</v>
      </c>
      <c r="E34" s="1"/>
      <c r="F34" s="1"/>
      <c r="G34" s="1"/>
      <c r="H34" s="1"/>
      <c r="I34" s="1"/>
      <c r="J34" s="1"/>
      <c r="K34" s="1"/>
    </row>
    <row r="35" spans="1:11" x14ac:dyDescent="0.25">
      <c r="A35" s="3">
        <v>43857</v>
      </c>
      <c r="B35" s="1" t="s">
        <v>19</v>
      </c>
      <c r="C35" s="1" t="s">
        <v>6</v>
      </c>
      <c r="D35" s="2">
        <v>3.24</v>
      </c>
      <c r="E35" s="1"/>
      <c r="F35" s="1"/>
      <c r="G35" s="1"/>
      <c r="H35" s="1"/>
      <c r="I35" s="1"/>
      <c r="J35" s="1"/>
      <c r="K35" s="1"/>
    </row>
    <row r="36" spans="1:11" x14ac:dyDescent="0.25">
      <c r="A36" s="3">
        <v>43857</v>
      </c>
      <c r="B36" s="1" t="s">
        <v>10</v>
      </c>
      <c r="C36" s="1" t="s">
        <v>3</v>
      </c>
      <c r="D36" s="2">
        <v>12.84</v>
      </c>
      <c r="E36" s="1"/>
      <c r="F36" s="1"/>
      <c r="G36" s="1"/>
      <c r="H36" s="1"/>
      <c r="I36" s="1"/>
      <c r="J36" s="1"/>
      <c r="K36" s="1"/>
    </row>
    <row r="37" spans="1:11" x14ac:dyDescent="0.25">
      <c r="A37" s="3">
        <v>43858</v>
      </c>
      <c r="B37" s="1" t="s">
        <v>18</v>
      </c>
      <c r="C37" s="1" t="s">
        <v>6</v>
      </c>
      <c r="D37" s="2">
        <v>2.35</v>
      </c>
      <c r="E37" s="1"/>
      <c r="F37" s="1"/>
      <c r="G37" s="1"/>
      <c r="H37" s="1"/>
      <c r="I37" s="1"/>
      <c r="J37" s="1"/>
      <c r="K37" s="1"/>
    </row>
    <row r="38" spans="1:11" x14ac:dyDescent="0.25">
      <c r="A38" s="3">
        <v>43860</v>
      </c>
      <c r="B38" s="1" t="s">
        <v>15</v>
      </c>
      <c r="C38" s="1" t="s">
        <v>7</v>
      </c>
      <c r="D38" s="2">
        <v>9.23</v>
      </c>
      <c r="E38" s="1"/>
      <c r="F38" s="1"/>
      <c r="G38" s="1"/>
      <c r="H38" s="1"/>
      <c r="I38" s="1"/>
      <c r="J38" s="1"/>
      <c r="K38" s="1"/>
    </row>
    <row r="39" spans="1:11" x14ac:dyDescent="0.25">
      <c r="A39" s="3">
        <v>43860</v>
      </c>
      <c r="B39" s="1" t="s">
        <v>21</v>
      </c>
      <c r="C39" s="1" t="s">
        <v>4</v>
      </c>
      <c r="D39" s="2">
        <v>45.28</v>
      </c>
      <c r="E39" s="1"/>
      <c r="F39" s="1"/>
      <c r="G39" s="1"/>
      <c r="H39" s="1"/>
      <c r="I39" s="1"/>
      <c r="J39" s="1"/>
      <c r="K39" s="1"/>
    </row>
    <row r="40" spans="1:11" x14ac:dyDescent="0.25">
      <c r="A40" s="3">
        <v>43861</v>
      </c>
      <c r="B40" s="1" t="s">
        <v>26</v>
      </c>
      <c r="C40" s="1" t="s">
        <v>3</v>
      </c>
      <c r="D40" s="2">
        <v>34.65</v>
      </c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</sheetData>
  <mergeCells count="1">
    <mergeCell ref="F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Divya Sharma</cp:lastModifiedBy>
  <cp:lastPrinted>2020-02-15T20:01:14Z</cp:lastPrinted>
  <dcterms:created xsi:type="dcterms:W3CDTF">2020-02-15T16:42:15Z</dcterms:created>
  <dcterms:modified xsi:type="dcterms:W3CDTF">2021-08-01T07:37:46Z</dcterms:modified>
</cp:coreProperties>
</file>